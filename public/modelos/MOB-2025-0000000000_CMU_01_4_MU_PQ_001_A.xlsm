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SPURBSP01\Escritorio_Projetos\MOB_II_Concurso-mob\12_Edital\00_ANEXOS\"/>
    </mc:Choice>
  </mc:AlternateContent>
  <xr:revisionPtr revIDLastSave="0" documentId="13_ncr:1_{B5E24B47-806C-40E0-8B55-766D9FA6D2F4}" xr6:coauthVersionLast="47" xr6:coauthVersionMax="47" xr10:uidLastSave="{00000000-0000-0000-0000-000000000000}"/>
  <bookViews>
    <workbookView xWindow="-120" yWindow="-120" windowWidth="29040" windowHeight="15720" tabRatio="847" activeTab="1" xr2:uid="{00000000-000D-0000-FFFF-FFFF00000000}"/>
  </bookViews>
  <sheets>
    <sheet name="1-MODELO QUADRO RESUMO" sheetId="23" r:id="rId1"/>
    <sheet name="2-PLAN. DE COMP.DE CUSTOS" sheetId="24" r:id="rId2"/>
    <sheet name="3-MODELO COMP PREÇ UNIT" sheetId="21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\0">[1]HABITAÇÃO!#REF!</definedName>
    <definedName name="\CC">[2]MEDIÇÃO!#REF!</definedName>
    <definedName name="\i">#REF!</definedName>
    <definedName name="\m">#REF!</definedName>
    <definedName name="\M10">[2]MEDIÇÃO!#REF!</definedName>
    <definedName name="\M11">[2]MEDIÇÃO!#REF!</definedName>
    <definedName name="\M2">[2]MEDIÇÃO!#REF!</definedName>
    <definedName name="\M3">[2]MEDIÇÃO!#REF!</definedName>
    <definedName name="\M4">[2]MEDIÇÃO!#REF!</definedName>
    <definedName name="\M5">[2]MEDIÇÃO!#REF!</definedName>
    <definedName name="\M6">[2]MEDIÇÃO!#REF!</definedName>
    <definedName name="\M7">[2]MEDIÇÃO!#REF!</definedName>
    <definedName name="\M8">[2]MEDIÇÃO!#REF!</definedName>
    <definedName name="\M9">[2]MEDIÇÃO!#REF!</definedName>
    <definedName name="\MM">[2]MEDIÇÃO!#REF!</definedName>
    <definedName name="\O">#REF!</definedName>
    <definedName name="\PP">[2]MEDIÇÃO!#REF!</definedName>
    <definedName name="\q">[2]MEDIÇÃO!#REF!</definedName>
    <definedName name="_xlnm.Print_Area" localSheetId="0">'1-MODELO QUADRO RESUMO'!$A$1:$G$32</definedName>
    <definedName name="_xlnm.Print_Area" localSheetId="1">'2-PLAN. DE COMP.DE CUSTOS'!$A$18:$R$356</definedName>
    <definedName name="AreaTeste">#REF!</definedName>
    <definedName name="AreaTeste2">#REF!</definedName>
    <definedName name="ART_RRT">#REF!</definedName>
    <definedName name="BASE_CPOS_I">#REF!</definedName>
    <definedName name="BASE_CPOS_SERV">#REF!</definedName>
    <definedName name="BASE_EDIF">#REF!</definedName>
    <definedName name="BASE_EDIF_INFRA">#REF!</definedName>
    <definedName name="BASE_SINAPI">#REF!</definedName>
    <definedName name="BASE_SINAPI_I">#REF!</definedName>
    <definedName name="BASE_TCPO">#REF!</definedName>
    <definedName name="BDI">#REF!</definedName>
    <definedName name="BOOLEANA">#REF!</definedName>
    <definedName name="BuiltIn_Print_Area">#REF!</definedName>
    <definedName name="BuiltIn_Print_Area___0">#REF!</definedName>
    <definedName name="BuiltIn_Print_Titles">#REF!</definedName>
    <definedName name="BuiltIn_Print_Titles___0">#REF!</definedName>
    <definedName name="CAU_CREA">#REF!</definedName>
    <definedName name="CélulaInicioPlanilha">#REF!</definedName>
    <definedName name="CélulaResumo">#REF!</definedName>
    <definedName name="CÓDIGO_LICITACAO">'[3]DADOS DO CONTRATO'!$B$9</definedName>
    <definedName name="COMPOS">[4]Sinapi!$A$3:$D$4139</definedName>
    <definedName name="CUSTOS_ANALITICO">#REF!</definedName>
    <definedName name="DATA_LICIT">#REF!</definedName>
    <definedName name="DESNIVEL" hidden="1">{#N/A,#N/A,FALSE,"RESUMO-BB1";#N/A,#N/A,FALSE,"MOD-A01-R - BB1";#N/A,#N/A,FALSE,"URB-BB1"}</definedName>
    <definedName name="DMT_BOTAFORA">#REF!</definedName>
    <definedName name="DMT_JAZIDA1">#REF!</definedName>
    <definedName name="DMT_JAZIDA2">#REF!</definedName>
    <definedName name="DMT_JAZIDA3">#REF!</definedName>
    <definedName name="EMP_ENTULHO">#REF!</definedName>
    <definedName name="EMP_TERRA">#REF!</definedName>
    <definedName name="EMPR_VENCEDORA">#REF!</definedName>
    <definedName name="execução">[5]INFO!$D$22:$D$23</definedName>
    <definedName name="FISCAL">'[3]DADOS DO CONTRATO'!$B$10</definedName>
    <definedName name="LISTA_SECRETARIAS">#REF!</definedName>
    <definedName name="LOCAL">#REF!</definedName>
    <definedName name="MODALIDADE">'[3]DADOS DO CONTRATO'!$B$8</definedName>
    <definedName name="NUM_PROC_LIC">#REF!</definedName>
    <definedName name="OBJETO">#REF!</definedName>
    <definedName name="PESO_ENTULHO">#REF!</definedName>
    <definedName name="PESO_SOLO">#REF!</definedName>
    <definedName name="PLAN_COMP_SINAPI">#REF!</definedName>
    <definedName name="PLAN_INS_CPOS">#REF!</definedName>
    <definedName name="PLAN_INS_EDIF">#REF!</definedName>
    <definedName name="PLAN_INS_INFRA">#REF!</definedName>
    <definedName name="PLAN_INS_SINAPI">#REF!</definedName>
    <definedName name="PLAN_SERV_CPOS">#REF!</definedName>
    <definedName name="PLAN_SERV_EDIF">#REF!</definedName>
    <definedName name="PLAN_SERV_INFRA">#REF!</definedName>
    <definedName name="PO.Lista.Fonte">[6]PO!$C$5:$C$9</definedName>
    <definedName name="PRAZO">'[3]DADOS DO CONTRATO'!$B$4</definedName>
    <definedName name="PRECOS_INS_CPOS">#REF!</definedName>
    <definedName name="PRECOS_INS_EDIF">#REF!</definedName>
    <definedName name="PRECOS_INS_INFRA">#REF!</definedName>
    <definedName name="PRECOS_INSUMOS">#REF!</definedName>
    <definedName name="PRECOS_SERV_CPOS">#REF!</definedName>
    <definedName name="PRECOS_SERV_EDIF">#REF!</definedName>
    <definedName name="PRECOS_SERV_INFRA">#REF!</definedName>
    <definedName name="previdenciário">[5]INFO!$E$22:$E$23</definedName>
    <definedName name="PROC_ADM">'[3]DADOS DO CONTRATO'!$B$6</definedName>
    <definedName name="PROC_LICITATÓRIO">#REF!</definedName>
    <definedName name="PROC_MED">'[3]DADOS DO CONTRATO'!$B$7</definedName>
    <definedName name="PROCESSO">#REF!</definedName>
    <definedName name="PROJETISTA">#REF!</definedName>
    <definedName name="PROPOSTA">#REF!</definedName>
    <definedName name="REFERÊNCIA_CAD">#REF!</definedName>
    <definedName name="REVISÃO">#REF!</definedName>
    <definedName name="SECRETARIA_REQUISITANTE">#REF!</definedName>
    <definedName name="Sigilo">#REF!</definedName>
    <definedName name="SIM_NÃO">#REF!</definedName>
    <definedName name="TIPO_LIC">#REF!</definedName>
    <definedName name="tipoobra">[7]BDI!$N$36:$N$42</definedName>
    <definedName name="TipoOrçamento">"BASE"</definedName>
    <definedName name="wrn.BB1." hidden="1">{#N/A,#N/A,FALSE,"RESUMO-BB1";#N/A,#N/A,FALSE,"MOD-A01-R - BB1";#N/A,#N/A,FALSE,"URB-BB1"}</definedName>
    <definedName name="wrn.BETER." hidden="1">{#N/A,#N/A,FALSE,"BETER -1";#N/A,#N/A,FALSE,"BETER -2";#N/A,#N/A,FALSE,"BETER -3";#N/A,#N/A,FALSE,"BETER -urb";#N/A,#N/A,FALSE,"BETER -RESUMO"}</definedName>
    <definedName name="wrn.GERAL.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wrn.ORÇAMENTO." hidden="1">{#N/A,#N/A,FALSE,"ORC-ACKE";#N/A,#N/A,FALSE,"RESUMO"}</definedName>
    <definedName name="X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4" i="24" l="1"/>
  <c r="H54" i="24" s="1"/>
  <c r="I54" i="24" s="1"/>
  <c r="Q39" i="24"/>
  <c r="H39" i="24" s="1"/>
  <c r="I39" i="24" s="1"/>
  <c r="Q57" i="24"/>
  <c r="H57" i="24" s="1"/>
  <c r="I57" i="24" s="1"/>
  <c r="Q52" i="24"/>
  <c r="H52" i="24" s="1"/>
  <c r="I52" i="24" s="1"/>
  <c r="Q43" i="24"/>
  <c r="H43" i="24" s="1"/>
  <c r="I43" i="24" s="1"/>
  <c r="Q36" i="24"/>
  <c r="H36" i="24" s="1"/>
  <c r="I36" i="24" s="1"/>
  <c r="Q53" i="24"/>
  <c r="H53" i="24" s="1"/>
  <c r="I53" i="24" s="1"/>
  <c r="Q51" i="24"/>
  <c r="H51" i="24" s="1"/>
  <c r="I51" i="24" s="1"/>
  <c r="Q37" i="24"/>
  <c r="H37" i="24" s="1"/>
  <c r="I37" i="24" s="1"/>
  <c r="Q42" i="24"/>
  <c r="H42" i="24" s="1"/>
  <c r="I42" i="24" s="1"/>
  <c r="Q41" i="24"/>
  <c r="H41" i="24" s="1"/>
  <c r="I41" i="24" s="1"/>
  <c r="Q40" i="24"/>
  <c r="H40" i="24" s="1"/>
  <c r="I40" i="24" s="1"/>
  <c r="Q79" i="24" l="1"/>
  <c r="H79" i="24" s="1"/>
  <c r="I79" i="24" s="1"/>
  <c r="Q55" i="24"/>
  <c r="H55" i="24" s="1"/>
  <c r="I55" i="24" s="1"/>
  <c r="Q56" i="24"/>
  <c r="H56" i="24" s="1"/>
  <c r="I56" i="24" s="1"/>
  <c r="Q58" i="24"/>
  <c r="H58" i="24" s="1"/>
  <c r="I58" i="24" s="1"/>
  <c r="Q59" i="24"/>
  <c r="H59" i="24" s="1"/>
  <c r="I59" i="24" s="1"/>
  <c r="Q38" i="24"/>
  <c r="H38" i="24" s="1"/>
  <c r="I38" i="24" s="1"/>
  <c r="Q44" i="24"/>
  <c r="H44" i="24" s="1"/>
  <c r="I44" i="24" s="1"/>
  <c r="Q45" i="24"/>
  <c r="H45" i="24" s="1"/>
  <c r="I45" i="24" s="1"/>
  <c r="Q46" i="24"/>
  <c r="H46" i="24" s="1"/>
  <c r="I46" i="24" s="1"/>
  <c r="Q63" i="24"/>
  <c r="H63" i="24" s="1"/>
  <c r="I63" i="24" s="1"/>
  <c r="I35" i="24" l="1"/>
  <c r="G4" i="23" s="1"/>
  <c r="I22" i="21"/>
  <c r="Q339" i="24"/>
  <c r="H339" i="24" s="1"/>
  <c r="I339" i="24" s="1"/>
  <c r="Q348" i="24" l="1"/>
  <c r="H348" i="24" s="1"/>
  <c r="I348" i="24" s="1"/>
  <c r="Q347" i="24"/>
  <c r="H347" i="24" s="1"/>
  <c r="I347" i="24" s="1"/>
  <c r="Q346" i="24"/>
  <c r="H346" i="24" s="1"/>
  <c r="I346" i="24" s="1"/>
  <c r="Q345" i="24"/>
  <c r="H345" i="24" s="1"/>
  <c r="I345" i="24" s="1"/>
  <c r="Q344" i="24"/>
  <c r="H344" i="24" s="1"/>
  <c r="I344" i="24" s="1"/>
  <c r="Q343" i="24"/>
  <c r="H343" i="24" s="1"/>
  <c r="I343" i="24" s="1"/>
  <c r="Q342" i="24"/>
  <c r="H342" i="24" s="1"/>
  <c r="I342" i="24" s="1"/>
  <c r="Q341" i="24"/>
  <c r="H341" i="24" s="1"/>
  <c r="I341" i="24" s="1"/>
  <c r="Q340" i="24"/>
  <c r="H340" i="24" s="1"/>
  <c r="I340" i="24" s="1"/>
  <c r="Q335" i="24"/>
  <c r="H335" i="24" s="1"/>
  <c r="I335" i="24" s="1"/>
  <c r="Q334" i="24"/>
  <c r="H334" i="24" s="1"/>
  <c r="I334" i="24" s="1"/>
  <c r="Q333" i="24"/>
  <c r="H333" i="24" s="1"/>
  <c r="I333" i="24" s="1"/>
  <c r="Q332" i="24"/>
  <c r="H332" i="24" s="1"/>
  <c r="I332" i="24" s="1"/>
  <c r="Q331" i="24"/>
  <c r="H331" i="24" s="1"/>
  <c r="I331" i="24" s="1"/>
  <c r="Q330" i="24"/>
  <c r="H330" i="24" s="1"/>
  <c r="I330" i="24" s="1"/>
  <c r="Q329" i="24"/>
  <c r="H329" i="24" s="1"/>
  <c r="I329" i="24" s="1"/>
  <c r="Q328" i="24"/>
  <c r="H328" i="24" s="1"/>
  <c r="I328" i="24" s="1"/>
  <c r="Q327" i="24"/>
  <c r="H327" i="24" s="1"/>
  <c r="I327" i="24" s="1"/>
  <c r="Q326" i="24"/>
  <c r="H326" i="24" s="1"/>
  <c r="I326" i="24" s="1"/>
  <c r="Q322" i="24"/>
  <c r="H322" i="24" s="1"/>
  <c r="I322" i="24" s="1"/>
  <c r="Q321" i="24"/>
  <c r="H321" i="24" s="1"/>
  <c r="I321" i="24" s="1"/>
  <c r="Q320" i="24"/>
  <c r="H320" i="24" s="1"/>
  <c r="I320" i="24" s="1"/>
  <c r="Q319" i="24"/>
  <c r="H319" i="24" s="1"/>
  <c r="I319" i="24" s="1"/>
  <c r="Q318" i="24"/>
  <c r="H318" i="24" s="1"/>
  <c r="I318" i="24" s="1"/>
  <c r="Q317" i="24"/>
  <c r="H317" i="24" s="1"/>
  <c r="I317" i="24" s="1"/>
  <c r="Q316" i="24"/>
  <c r="H316" i="24" s="1"/>
  <c r="I316" i="24" s="1"/>
  <c r="Q315" i="24"/>
  <c r="H315" i="24" s="1"/>
  <c r="I315" i="24" s="1"/>
  <c r="Q314" i="24"/>
  <c r="H314" i="24" s="1"/>
  <c r="I314" i="24" s="1"/>
  <c r="Q313" i="24"/>
  <c r="H313" i="24" s="1"/>
  <c r="I313" i="24" s="1"/>
  <c r="Q309" i="24"/>
  <c r="H309" i="24" s="1"/>
  <c r="I309" i="24" s="1"/>
  <c r="Q308" i="24"/>
  <c r="H308" i="24" s="1"/>
  <c r="I308" i="24" s="1"/>
  <c r="Q307" i="24"/>
  <c r="H307" i="24" s="1"/>
  <c r="I307" i="24" s="1"/>
  <c r="Q306" i="24"/>
  <c r="H306" i="24" s="1"/>
  <c r="I306" i="24" s="1"/>
  <c r="Q305" i="24"/>
  <c r="H305" i="24" s="1"/>
  <c r="I305" i="24" s="1"/>
  <c r="Q304" i="24"/>
  <c r="H304" i="24" s="1"/>
  <c r="I304" i="24" s="1"/>
  <c r="Q303" i="24"/>
  <c r="H303" i="24" s="1"/>
  <c r="I303" i="24" s="1"/>
  <c r="Q302" i="24"/>
  <c r="H302" i="24" s="1"/>
  <c r="I302" i="24" s="1"/>
  <c r="Q301" i="24"/>
  <c r="H301" i="24" s="1"/>
  <c r="I301" i="24" s="1"/>
  <c r="Q300" i="24"/>
  <c r="H300" i="24" s="1"/>
  <c r="I300" i="24" s="1"/>
  <c r="Q296" i="24"/>
  <c r="H296" i="24" s="1"/>
  <c r="I296" i="24" s="1"/>
  <c r="Q295" i="24"/>
  <c r="H295" i="24" s="1"/>
  <c r="I295" i="24" s="1"/>
  <c r="Q294" i="24"/>
  <c r="H294" i="24" s="1"/>
  <c r="I294" i="24" s="1"/>
  <c r="Q293" i="24"/>
  <c r="H293" i="24" s="1"/>
  <c r="I293" i="24" s="1"/>
  <c r="Q292" i="24"/>
  <c r="H292" i="24" s="1"/>
  <c r="I292" i="24" s="1"/>
  <c r="Q291" i="24"/>
  <c r="H291" i="24" s="1"/>
  <c r="I291" i="24" s="1"/>
  <c r="Q290" i="24"/>
  <c r="H290" i="24" s="1"/>
  <c r="I290" i="24" s="1"/>
  <c r="Q289" i="24"/>
  <c r="H289" i="24" s="1"/>
  <c r="I289" i="24" s="1"/>
  <c r="Q288" i="24"/>
  <c r="H288" i="24" s="1"/>
  <c r="I288" i="24" s="1"/>
  <c r="Q287" i="24"/>
  <c r="H287" i="24" s="1"/>
  <c r="I287" i="24" s="1"/>
  <c r="Q281" i="24"/>
  <c r="H281" i="24" s="1"/>
  <c r="I281" i="24" s="1"/>
  <c r="Q280" i="24"/>
  <c r="H280" i="24" s="1"/>
  <c r="I280" i="24" s="1"/>
  <c r="Q279" i="24"/>
  <c r="H279" i="24" s="1"/>
  <c r="I279" i="24" s="1"/>
  <c r="Q278" i="24"/>
  <c r="H278" i="24" s="1"/>
  <c r="I278" i="24" s="1"/>
  <c r="Q277" i="24"/>
  <c r="H277" i="24" s="1"/>
  <c r="I277" i="24" s="1"/>
  <c r="Q276" i="24"/>
  <c r="H276" i="24" s="1"/>
  <c r="I276" i="24" s="1"/>
  <c r="Q275" i="24"/>
  <c r="H275" i="24" s="1"/>
  <c r="I275" i="24" s="1"/>
  <c r="Q274" i="24"/>
  <c r="H274" i="24" s="1"/>
  <c r="I274" i="24" s="1"/>
  <c r="Q273" i="24"/>
  <c r="H273" i="24" s="1"/>
  <c r="I273" i="24" s="1"/>
  <c r="Q272" i="24"/>
  <c r="H272" i="24" s="1"/>
  <c r="I272" i="24" s="1"/>
  <c r="Q268" i="24"/>
  <c r="H268" i="24" s="1"/>
  <c r="I268" i="24" s="1"/>
  <c r="Q267" i="24"/>
  <c r="H267" i="24" s="1"/>
  <c r="I267" i="24" s="1"/>
  <c r="Q266" i="24"/>
  <c r="H266" i="24" s="1"/>
  <c r="I266" i="24" s="1"/>
  <c r="Q265" i="24"/>
  <c r="H265" i="24" s="1"/>
  <c r="I265" i="24" s="1"/>
  <c r="Q264" i="24"/>
  <c r="H264" i="24" s="1"/>
  <c r="I264" i="24" s="1"/>
  <c r="Q263" i="24"/>
  <c r="H263" i="24" s="1"/>
  <c r="I263" i="24" s="1"/>
  <c r="Q262" i="24"/>
  <c r="H262" i="24" s="1"/>
  <c r="I262" i="24" s="1"/>
  <c r="Q261" i="24"/>
  <c r="H261" i="24" s="1"/>
  <c r="I261" i="24" s="1"/>
  <c r="Q260" i="24"/>
  <c r="H260" i="24" s="1"/>
  <c r="I260" i="24" s="1"/>
  <c r="Q259" i="24"/>
  <c r="H259" i="24" s="1"/>
  <c r="I259" i="24" s="1"/>
  <c r="Q253" i="24"/>
  <c r="H253" i="24" s="1"/>
  <c r="I253" i="24" s="1"/>
  <c r="Q252" i="24"/>
  <c r="H252" i="24" s="1"/>
  <c r="I252" i="24" s="1"/>
  <c r="Q251" i="24"/>
  <c r="H251" i="24" s="1"/>
  <c r="I251" i="24" s="1"/>
  <c r="Q250" i="24"/>
  <c r="H250" i="24" s="1"/>
  <c r="I250" i="24" s="1"/>
  <c r="Q249" i="24"/>
  <c r="H249" i="24" s="1"/>
  <c r="I249" i="24" s="1"/>
  <c r="Q248" i="24"/>
  <c r="H248" i="24" s="1"/>
  <c r="I248" i="24" s="1"/>
  <c r="Q247" i="24"/>
  <c r="H247" i="24" s="1"/>
  <c r="I247" i="24" s="1"/>
  <c r="Q246" i="24"/>
  <c r="H246" i="24" s="1"/>
  <c r="I246" i="24" s="1"/>
  <c r="Q245" i="24"/>
  <c r="H245" i="24" s="1"/>
  <c r="I245" i="24" s="1"/>
  <c r="Q244" i="24"/>
  <c r="H244" i="24" s="1"/>
  <c r="I244" i="24" s="1"/>
  <c r="Q240" i="24"/>
  <c r="H240" i="24" s="1"/>
  <c r="I240" i="24" s="1"/>
  <c r="Q239" i="24"/>
  <c r="H239" i="24" s="1"/>
  <c r="I239" i="24" s="1"/>
  <c r="Q238" i="24"/>
  <c r="H238" i="24" s="1"/>
  <c r="I238" i="24" s="1"/>
  <c r="Q237" i="24"/>
  <c r="H237" i="24" s="1"/>
  <c r="I237" i="24" s="1"/>
  <c r="Q236" i="24"/>
  <c r="H236" i="24" s="1"/>
  <c r="I236" i="24" s="1"/>
  <c r="Q235" i="24"/>
  <c r="H235" i="24" s="1"/>
  <c r="I235" i="24" s="1"/>
  <c r="Q234" i="24"/>
  <c r="H234" i="24" s="1"/>
  <c r="I234" i="24" s="1"/>
  <c r="Q233" i="24"/>
  <c r="H233" i="24" s="1"/>
  <c r="I233" i="24" s="1"/>
  <c r="Q232" i="24"/>
  <c r="H232" i="24" s="1"/>
  <c r="I232" i="24" s="1"/>
  <c r="Q231" i="24"/>
  <c r="H231" i="24" s="1"/>
  <c r="I231" i="24" s="1"/>
  <c r="Q225" i="24"/>
  <c r="H225" i="24" s="1"/>
  <c r="I225" i="24" s="1"/>
  <c r="Q224" i="24"/>
  <c r="H224" i="24" s="1"/>
  <c r="I224" i="24" s="1"/>
  <c r="Q223" i="24"/>
  <c r="H223" i="24" s="1"/>
  <c r="I223" i="24" s="1"/>
  <c r="Q222" i="24"/>
  <c r="H222" i="24" s="1"/>
  <c r="I222" i="24" s="1"/>
  <c r="Q221" i="24"/>
  <c r="H221" i="24" s="1"/>
  <c r="I221" i="24" s="1"/>
  <c r="Q220" i="24"/>
  <c r="H220" i="24" s="1"/>
  <c r="I220" i="24" s="1"/>
  <c r="Q219" i="24"/>
  <c r="H219" i="24" s="1"/>
  <c r="I219" i="24" s="1"/>
  <c r="Q218" i="24"/>
  <c r="H218" i="24" s="1"/>
  <c r="I218" i="24" s="1"/>
  <c r="Q217" i="24"/>
  <c r="H217" i="24" s="1"/>
  <c r="I217" i="24" s="1"/>
  <c r="Q216" i="24"/>
  <c r="H216" i="24" s="1"/>
  <c r="I216" i="24" s="1"/>
  <c r="Q212" i="24"/>
  <c r="H212" i="24" s="1"/>
  <c r="I212" i="24" s="1"/>
  <c r="Q211" i="24"/>
  <c r="H211" i="24" s="1"/>
  <c r="I211" i="24" s="1"/>
  <c r="Q210" i="24"/>
  <c r="H210" i="24" s="1"/>
  <c r="I210" i="24" s="1"/>
  <c r="Q209" i="24"/>
  <c r="H209" i="24" s="1"/>
  <c r="I209" i="24" s="1"/>
  <c r="Q208" i="24"/>
  <c r="H208" i="24" s="1"/>
  <c r="I208" i="24" s="1"/>
  <c r="Q207" i="24"/>
  <c r="H207" i="24" s="1"/>
  <c r="I207" i="24" s="1"/>
  <c r="Q206" i="24"/>
  <c r="H206" i="24" s="1"/>
  <c r="I206" i="24" s="1"/>
  <c r="Q205" i="24"/>
  <c r="H205" i="24" s="1"/>
  <c r="I205" i="24" s="1"/>
  <c r="Q204" i="24"/>
  <c r="H204" i="24" s="1"/>
  <c r="I204" i="24" s="1"/>
  <c r="Q203" i="24"/>
  <c r="H203" i="24" s="1"/>
  <c r="I203" i="24" s="1"/>
  <c r="Q190" i="24"/>
  <c r="H190" i="24" s="1"/>
  <c r="I190" i="24" s="1"/>
  <c r="Q199" i="24"/>
  <c r="H199" i="24" s="1"/>
  <c r="I199" i="24" s="1"/>
  <c r="Q198" i="24"/>
  <c r="H198" i="24" s="1"/>
  <c r="I198" i="24" s="1"/>
  <c r="Q197" i="24"/>
  <c r="H197" i="24" s="1"/>
  <c r="I197" i="24" s="1"/>
  <c r="Q196" i="24"/>
  <c r="H196" i="24" s="1"/>
  <c r="I196" i="24" s="1"/>
  <c r="Q195" i="24"/>
  <c r="H195" i="24" s="1"/>
  <c r="I195" i="24" s="1"/>
  <c r="Q194" i="24"/>
  <c r="H194" i="24" s="1"/>
  <c r="I194" i="24" s="1"/>
  <c r="Q193" i="24"/>
  <c r="H193" i="24" s="1"/>
  <c r="I193" i="24" s="1"/>
  <c r="Q192" i="24"/>
  <c r="H192" i="24" s="1"/>
  <c r="I192" i="24" s="1"/>
  <c r="Q191" i="24"/>
  <c r="H191" i="24" s="1"/>
  <c r="I191" i="24" s="1"/>
  <c r="Q184" i="24"/>
  <c r="H184" i="24" s="1"/>
  <c r="I184" i="24" s="1"/>
  <c r="Q183" i="24"/>
  <c r="H183" i="24" s="1"/>
  <c r="I183" i="24" s="1"/>
  <c r="Q182" i="24"/>
  <c r="H182" i="24" s="1"/>
  <c r="I182" i="24" s="1"/>
  <c r="Q181" i="24"/>
  <c r="H181" i="24" s="1"/>
  <c r="I181" i="24" s="1"/>
  <c r="Q180" i="24"/>
  <c r="H180" i="24" s="1"/>
  <c r="I180" i="24" s="1"/>
  <c r="Q179" i="24"/>
  <c r="H179" i="24" s="1"/>
  <c r="I179" i="24" s="1"/>
  <c r="Q178" i="24"/>
  <c r="H178" i="24" s="1"/>
  <c r="I178" i="24" s="1"/>
  <c r="Q177" i="24"/>
  <c r="H177" i="24" s="1"/>
  <c r="I177" i="24" s="1"/>
  <c r="Q176" i="24"/>
  <c r="H176" i="24" s="1"/>
  <c r="I176" i="24" s="1"/>
  <c r="Q175" i="24"/>
  <c r="H175" i="24" s="1"/>
  <c r="I175" i="24" s="1"/>
  <c r="Q171" i="24"/>
  <c r="H171" i="24" s="1"/>
  <c r="I171" i="24" s="1"/>
  <c r="Q170" i="24"/>
  <c r="H170" i="24" s="1"/>
  <c r="I170" i="24" s="1"/>
  <c r="Q169" i="24"/>
  <c r="H169" i="24" s="1"/>
  <c r="I169" i="24" s="1"/>
  <c r="Q168" i="24"/>
  <c r="H168" i="24" s="1"/>
  <c r="I168" i="24" s="1"/>
  <c r="Q167" i="24"/>
  <c r="H167" i="24" s="1"/>
  <c r="I167" i="24" s="1"/>
  <c r="Q166" i="24"/>
  <c r="H166" i="24" s="1"/>
  <c r="I166" i="24" s="1"/>
  <c r="Q165" i="24"/>
  <c r="H165" i="24" s="1"/>
  <c r="I165" i="24" s="1"/>
  <c r="Q164" i="24"/>
  <c r="H164" i="24" s="1"/>
  <c r="I164" i="24" s="1"/>
  <c r="Q163" i="24"/>
  <c r="H163" i="24" s="1"/>
  <c r="I163" i="24" s="1"/>
  <c r="Q162" i="24"/>
  <c r="H162" i="24" s="1"/>
  <c r="I162" i="24" s="1"/>
  <c r="Q156" i="24"/>
  <c r="H156" i="24" s="1"/>
  <c r="I156" i="24" s="1"/>
  <c r="Q155" i="24"/>
  <c r="H155" i="24" s="1"/>
  <c r="I155" i="24" s="1"/>
  <c r="Q154" i="24"/>
  <c r="H154" i="24" s="1"/>
  <c r="I154" i="24" s="1"/>
  <c r="Q153" i="24"/>
  <c r="H153" i="24" s="1"/>
  <c r="I153" i="24" s="1"/>
  <c r="Q152" i="24"/>
  <c r="H152" i="24" s="1"/>
  <c r="I152" i="24" s="1"/>
  <c r="Q151" i="24"/>
  <c r="H151" i="24" s="1"/>
  <c r="I151" i="24" s="1"/>
  <c r="Q150" i="24"/>
  <c r="H150" i="24" s="1"/>
  <c r="I150" i="24" s="1"/>
  <c r="Q149" i="24"/>
  <c r="H149" i="24" s="1"/>
  <c r="I149" i="24" s="1"/>
  <c r="Q148" i="24"/>
  <c r="H148" i="24" s="1"/>
  <c r="I148" i="24" s="1"/>
  <c r="Q147" i="24"/>
  <c r="H147" i="24" s="1"/>
  <c r="I147" i="24" s="1"/>
  <c r="Q143" i="24"/>
  <c r="H143" i="24" s="1"/>
  <c r="I143" i="24" s="1"/>
  <c r="Q142" i="24"/>
  <c r="H142" i="24" s="1"/>
  <c r="I142" i="24" s="1"/>
  <c r="Q141" i="24"/>
  <c r="H141" i="24" s="1"/>
  <c r="I141" i="24" s="1"/>
  <c r="Q140" i="24"/>
  <c r="H140" i="24" s="1"/>
  <c r="I140" i="24" s="1"/>
  <c r="Q139" i="24"/>
  <c r="H139" i="24" s="1"/>
  <c r="I139" i="24" s="1"/>
  <c r="Q138" i="24"/>
  <c r="H138" i="24" s="1"/>
  <c r="I138" i="24" s="1"/>
  <c r="Q137" i="24"/>
  <c r="H137" i="24" s="1"/>
  <c r="I137" i="24" s="1"/>
  <c r="Q136" i="24"/>
  <c r="H136" i="24" s="1"/>
  <c r="I136" i="24" s="1"/>
  <c r="Q135" i="24"/>
  <c r="H135" i="24" s="1"/>
  <c r="I135" i="24" s="1"/>
  <c r="Q134" i="24"/>
  <c r="H134" i="24" s="1"/>
  <c r="I134" i="24" s="1"/>
  <c r="Q130" i="24"/>
  <c r="H130" i="24" s="1"/>
  <c r="I130" i="24" s="1"/>
  <c r="Q129" i="24"/>
  <c r="H129" i="24" s="1"/>
  <c r="I129" i="24" s="1"/>
  <c r="Q128" i="24"/>
  <c r="H128" i="24" s="1"/>
  <c r="I128" i="24" s="1"/>
  <c r="Q127" i="24"/>
  <c r="H127" i="24" s="1"/>
  <c r="I127" i="24" s="1"/>
  <c r="Q126" i="24"/>
  <c r="H126" i="24" s="1"/>
  <c r="I126" i="24" s="1"/>
  <c r="Q125" i="24"/>
  <c r="H125" i="24" s="1"/>
  <c r="I125" i="24" s="1"/>
  <c r="Q124" i="24"/>
  <c r="H124" i="24" s="1"/>
  <c r="I124" i="24" s="1"/>
  <c r="Q123" i="24"/>
  <c r="H123" i="24" s="1"/>
  <c r="I123" i="24" s="1"/>
  <c r="Q122" i="24"/>
  <c r="H122" i="24" s="1"/>
  <c r="I122" i="24" s="1"/>
  <c r="Q121" i="24"/>
  <c r="H121" i="24" s="1"/>
  <c r="I121" i="24" s="1"/>
  <c r="Q113" i="24"/>
  <c r="H113" i="24" s="1"/>
  <c r="I113" i="24" s="1"/>
  <c r="Q112" i="24"/>
  <c r="H112" i="24" s="1"/>
  <c r="I112" i="24" s="1"/>
  <c r="Q111" i="24"/>
  <c r="H111" i="24" s="1"/>
  <c r="I111" i="24" s="1"/>
  <c r="Q110" i="24"/>
  <c r="H110" i="24" s="1"/>
  <c r="I110" i="24" s="1"/>
  <c r="Q109" i="24"/>
  <c r="H109" i="24" s="1"/>
  <c r="I109" i="24" s="1"/>
  <c r="Q108" i="24"/>
  <c r="H108" i="24" s="1"/>
  <c r="I108" i="24" s="1"/>
  <c r="Q107" i="24"/>
  <c r="H107" i="24" s="1"/>
  <c r="I107" i="24" s="1"/>
  <c r="Q106" i="24"/>
  <c r="H106" i="24" s="1"/>
  <c r="I106" i="24" s="1"/>
  <c r="Q105" i="24"/>
  <c r="H105" i="24" s="1"/>
  <c r="I105" i="24" s="1"/>
  <c r="Q104" i="24"/>
  <c r="H104" i="24" s="1"/>
  <c r="I104" i="24" s="1"/>
  <c r="Q100" i="24"/>
  <c r="H100" i="24" s="1"/>
  <c r="I100" i="24" s="1"/>
  <c r="Q99" i="24"/>
  <c r="H99" i="24" s="1"/>
  <c r="I99" i="24" s="1"/>
  <c r="Q98" i="24"/>
  <c r="H98" i="24" s="1"/>
  <c r="I98" i="24" s="1"/>
  <c r="Q97" i="24"/>
  <c r="H97" i="24" s="1"/>
  <c r="I97" i="24" s="1"/>
  <c r="Q96" i="24"/>
  <c r="H96" i="24" s="1"/>
  <c r="I96" i="24" s="1"/>
  <c r="Q95" i="24"/>
  <c r="H95" i="24" s="1"/>
  <c r="I95" i="24" s="1"/>
  <c r="Q94" i="24"/>
  <c r="H94" i="24" s="1"/>
  <c r="I94" i="24" s="1"/>
  <c r="Q93" i="24"/>
  <c r="H93" i="24" s="1"/>
  <c r="I93" i="24" s="1"/>
  <c r="Q92" i="24"/>
  <c r="H92" i="24" s="1"/>
  <c r="I92" i="24" s="1"/>
  <c r="Q91" i="24"/>
  <c r="H91" i="24" s="1"/>
  <c r="I91" i="24" s="1"/>
  <c r="Q87" i="24"/>
  <c r="H87" i="24" s="1"/>
  <c r="I87" i="24" s="1"/>
  <c r="Q86" i="24"/>
  <c r="H86" i="24" s="1"/>
  <c r="I86" i="24" s="1"/>
  <c r="Q85" i="24"/>
  <c r="H85" i="24" s="1"/>
  <c r="I85" i="24" s="1"/>
  <c r="Q84" i="24"/>
  <c r="H84" i="24" s="1"/>
  <c r="I84" i="24" s="1"/>
  <c r="Q83" i="24"/>
  <c r="H83" i="24" s="1"/>
  <c r="I83" i="24" s="1"/>
  <c r="Q82" i="24"/>
  <c r="H82" i="24" s="1"/>
  <c r="I82" i="24" s="1"/>
  <c r="Q81" i="24"/>
  <c r="H81" i="24" s="1"/>
  <c r="I81" i="24" s="1"/>
  <c r="Q80" i="24"/>
  <c r="H80" i="24" s="1"/>
  <c r="I80" i="24" s="1"/>
  <c r="Q78" i="24"/>
  <c r="H78" i="24" s="1"/>
  <c r="I78" i="24" s="1"/>
  <c r="I337" i="24" l="1"/>
  <c r="I132" i="24"/>
  <c r="G11" i="23" s="1"/>
  <c r="I76" i="24"/>
  <c r="G7" i="23" s="1"/>
  <c r="I119" i="24"/>
  <c r="G10" i="23" s="1"/>
  <c r="I173" i="24"/>
  <c r="I145" i="24"/>
  <c r="G12" i="23" s="1"/>
  <c r="I102" i="24"/>
  <c r="G9" i="23" s="1"/>
  <c r="I89" i="24"/>
  <c r="G8" i="23" s="1"/>
  <c r="I160" i="24"/>
  <c r="G13" i="23" s="1"/>
  <c r="G26" i="23"/>
  <c r="I311" i="24"/>
  <c r="G24" i="23" s="1"/>
  <c r="I285" i="24"/>
  <c r="G22" i="23" s="1"/>
  <c r="I324" i="24"/>
  <c r="G25" i="23" s="1"/>
  <c r="G14" i="23"/>
  <c r="I242" i="24"/>
  <c r="G19" i="23" s="1"/>
  <c r="I298" i="24"/>
  <c r="G23" i="23" s="1"/>
  <c r="I229" i="24"/>
  <c r="G18" i="23" s="1"/>
  <c r="I188" i="24"/>
  <c r="G15" i="23" s="1"/>
  <c r="I201" i="24"/>
  <c r="G16" i="23" s="1"/>
  <c r="I257" i="24"/>
  <c r="G20" i="23" s="1"/>
  <c r="I214" i="24"/>
  <c r="G17" i="23" s="1"/>
  <c r="I270" i="24"/>
  <c r="G21" i="23" s="1"/>
  <c r="Q72" i="24"/>
  <c r="H72" i="24" s="1"/>
  <c r="I72" i="24" s="1"/>
  <c r="Q71" i="24"/>
  <c r="H71" i="24" s="1"/>
  <c r="I71" i="24" s="1"/>
  <c r="Q70" i="24"/>
  <c r="H70" i="24" s="1"/>
  <c r="I70" i="24" s="1"/>
  <c r="Q69" i="24"/>
  <c r="H69" i="24" s="1"/>
  <c r="I69" i="24" s="1"/>
  <c r="Q68" i="24"/>
  <c r="H68" i="24" s="1"/>
  <c r="I68" i="24" s="1"/>
  <c r="Q67" i="24"/>
  <c r="H67" i="24" s="1"/>
  <c r="I67" i="24" s="1"/>
  <c r="Q66" i="24"/>
  <c r="H66" i="24" s="1"/>
  <c r="I66" i="24" s="1"/>
  <c r="Q65" i="24"/>
  <c r="H65" i="24" s="1"/>
  <c r="I65" i="24" s="1"/>
  <c r="Q64" i="24"/>
  <c r="H64" i="24" s="1"/>
  <c r="I64" i="24" s="1"/>
  <c r="Q50" i="24"/>
  <c r="H50" i="24" s="1"/>
  <c r="I50" i="24" s="1"/>
  <c r="I48" i="24" s="1"/>
  <c r="I61" i="24" l="1"/>
  <c r="G6" i="23" s="1"/>
  <c r="G5" i="23"/>
  <c r="G27" i="23" l="1"/>
  <c r="G28" i="23" s="1"/>
  <c r="G29" i="23" s="1"/>
  <c r="I350" i="24"/>
  <c r="I351" i="24" l="1"/>
  <c r="I352" i="24" s="1"/>
</calcChain>
</file>

<file path=xl/sharedStrings.xml><?xml version="1.0" encoding="utf-8"?>
<sst xmlns="http://schemas.openxmlformats.org/spreadsheetml/2006/main" count="309" uniqueCount="192">
  <si>
    <t>ORIGEM</t>
  </si>
  <si>
    <t>CÓDIGO</t>
  </si>
  <si>
    <t>DESCRIÇÃO</t>
  </si>
  <si>
    <t>UNIDADE</t>
  </si>
  <si>
    <t>CUSTO UNITÁRIO (R$)</t>
  </si>
  <si>
    <t>UN</t>
  </si>
  <si>
    <t>ELABORADO POR:</t>
  </si>
  <si>
    <t>TOTEM DE IDENTIFICAÇÃO</t>
  </si>
  <si>
    <t>Elemento</t>
  </si>
  <si>
    <t>Custo Unitário</t>
  </si>
  <si>
    <t>Balizador flexível</t>
  </si>
  <si>
    <t>Paraciclo</t>
  </si>
  <si>
    <t>*</t>
  </si>
  <si>
    <t>**</t>
  </si>
  <si>
    <t>***</t>
  </si>
  <si>
    <t>****</t>
  </si>
  <si>
    <t>QUANTIDADE</t>
  </si>
  <si>
    <t>QUIOSQUE MULTIUSO</t>
  </si>
  <si>
    <t>Utilidade Pública (com infraestrutura integrada)</t>
  </si>
  <si>
    <t>1.1</t>
  </si>
  <si>
    <t>1.2</t>
  </si>
  <si>
    <t>ORIGEM DE CUSTOS</t>
  </si>
  <si>
    <t>UNID.</t>
  </si>
  <si>
    <t>CUSTO UNIT. 
(R$)</t>
  </si>
  <si>
    <t>QUANT.</t>
  </si>
  <si>
    <t>SUBTOTAIS
 (R$)</t>
  </si>
  <si>
    <t>SANITÁRIO PÚBLICO</t>
  </si>
  <si>
    <t>GRUPO/ ELEMENTO</t>
  </si>
  <si>
    <t>CONCURSO DE MOBILIÁRIO URBANO FASE II - PLANILHA DE COMPOSIÇÃO DE CUSTOS</t>
  </si>
  <si>
    <t>B.D.I. 20,11%</t>
  </si>
  <si>
    <t>TOTAL SEM B.D.I.</t>
  </si>
  <si>
    <t>TOTAL COM B.D.I.</t>
  </si>
  <si>
    <t>Grupo</t>
  </si>
  <si>
    <t>Total sem BDI</t>
  </si>
  <si>
    <t>BDI 20,11%</t>
  </si>
  <si>
    <t>*****</t>
  </si>
  <si>
    <t>REFERÊNCIA 01</t>
  </si>
  <si>
    <t>REFERÊNCIA 02</t>
  </si>
  <si>
    <t>REFERÊNCIA 03</t>
  </si>
  <si>
    <t>REFERÊNCIA 04</t>
  </si>
  <si>
    <t>REFERÊNCIA 05</t>
  </si>
  <si>
    <t>MEMÓRIA DE CÁLCULO</t>
  </si>
  <si>
    <t>RELAÇÕES DIMENSIONAIS</t>
  </si>
  <si>
    <t>ALTURA (h)</t>
  </si>
  <si>
    <t>(a)</t>
  </si>
  <si>
    <t>(b)</t>
  </si>
  <si>
    <t>(c )</t>
  </si>
  <si>
    <t>LARGURA (L)</t>
  </si>
  <si>
    <t>COMPRIMENTO (C)</t>
  </si>
  <si>
    <t>FATORES ESPECÍFICOS</t>
  </si>
  <si>
    <t>DESCRIÇÃO FATORES ESPECÍFICOS</t>
  </si>
  <si>
    <t>INSTRUÇÕES DE PREENCHIMENTO</t>
  </si>
  <si>
    <t>CÓDIGO ATRIBUÍDO</t>
  </si>
  <si>
    <t>CONCURSO DE MOBILIÁRIO URBANO - FASE II
COMPOSIÇÃO DE PREÇO UNITÁRIO - CPU</t>
  </si>
  <si>
    <t>DATA COMPOSIÇÃO</t>
  </si>
  <si>
    <t>ITEM/ELEMENTO/SERVIÇO</t>
  </si>
  <si>
    <t>DD/MM/AAAA</t>
  </si>
  <si>
    <t>SUBTOTAIS</t>
  </si>
  <si>
    <t>ITEM</t>
  </si>
  <si>
    <t>XXXXX XXXXX XXXXX</t>
  </si>
  <si>
    <t>ORIGEM DE CUSTOS:</t>
  </si>
  <si>
    <t>TÓTENS MULTIUSO</t>
  </si>
  <si>
    <t>1.3</t>
  </si>
  <si>
    <t>1.3.1</t>
  </si>
  <si>
    <t>TÓTEM MARCO REFENCIAL</t>
  </si>
  <si>
    <t>TÓTEM DE APOIO</t>
  </si>
  <si>
    <t>1.3.2</t>
  </si>
  <si>
    <t>1.4</t>
  </si>
  <si>
    <t>BEBEDOURO</t>
  </si>
  <si>
    <t>2.1</t>
  </si>
  <si>
    <t>Descanso, convívio, proteção e utilidade e pública (sem infraestrutura integrada)</t>
  </si>
  <si>
    <t>FAMÍLIA DE BANCOS</t>
  </si>
  <si>
    <t>2.2</t>
  </si>
  <si>
    <t>2.1.1</t>
  </si>
  <si>
    <t>2.1.2</t>
  </si>
  <si>
    <t>2.1.3</t>
  </si>
  <si>
    <t>BANCO COLETIVO SEM ENCOSTO</t>
  </si>
  <si>
    <t>BANCO COLETIVO COM ENCOSTO</t>
  </si>
  <si>
    <t>BANCO COLETIVO COM ENCOSTO E APOIO DE BRAÇOS</t>
  </si>
  <si>
    <t>FAMÍLIA DE PAPELEIRAS</t>
  </si>
  <si>
    <t>2.2.1</t>
  </si>
  <si>
    <t>PAPELEIRA INDIVIDUAL</t>
  </si>
  <si>
    <t>PAPELEIRA DUPLA</t>
  </si>
  <si>
    <t>2.2.2</t>
  </si>
  <si>
    <t>2.3</t>
  </si>
  <si>
    <t>FAMÍLIA DE PARACICLOS</t>
  </si>
  <si>
    <t>2.3.1</t>
  </si>
  <si>
    <t>PARACICLO UNITÁRIO</t>
  </si>
  <si>
    <t>CONJUNTO DE PARACICLOS</t>
  </si>
  <si>
    <t>2.3.2</t>
  </si>
  <si>
    <t>2.4</t>
  </si>
  <si>
    <t>TÓTEM ORIENTATIVO</t>
  </si>
  <si>
    <t>2.5</t>
  </si>
  <si>
    <t>FAMÍLIA DE GUARDA-CORPOS</t>
  </si>
  <si>
    <t xml:space="preserve"> GUARDA-CORPO FIXO</t>
  </si>
  <si>
    <t>2.5.1</t>
  </si>
  <si>
    <t>2.5.2</t>
  </si>
  <si>
    <t xml:space="preserve"> GUARDA-CORPO MÓVEL</t>
  </si>
  <si>
    <t>FAMÍLIA DE BALIZADORES</t>
  </si>
  <si>
    <t>2.6</t>
  </si>
  <si>
    <t>2.6.1</t>
  </si>
  <si>
    <t>2.6.2</t>
  </si>
  <si>
    <t>BALIZADOR FLEXÍVEL</t>
  </si>
  <si>
    <t>BALIZADOR SÓLIDO</t>
  </si>
  <si>
    <t>Paisagem, ambientação e adaptação climática</t>
  </si>
  <si>
    <t>3.1</t>
  </si>
  <si>
    <t>FLOREIRA</t>
  </si>
  <si>
    <t>3.2</t>
  </si>
  <si>
    <t>VASOS</t>
  </si>
  <si>
    <t>ELEMENTO DE SOMBREAMENTO VERDE</t>
  </si>
  <si>
    <t>3.3</t>
  </si>
  <si>
    <t>TUTOR PARA PLANTAS</t>
  </si>
  <si>
    <t>3.4</t>
  </si>
  <si>
    <t>3.5</t>
  </si>
  <si>
    <t>PROTETOR DE RAÍZES PARA CANTEIRO DE ÁRVORES</t>
  </si>
  <si>
    <t>CUSTO UNITÁRIO 
CPU (SEM BDI)</t>
  </si>
  <si>
    <t>Quiosque Multiuso</t>
  </si>
  <si>
    <t>Sanitário Público</t>
  </si>
  <si>
    <t>Bebedouro</t>
  </si>
  <si>
    <t>Banco coletivo sem encosto</t>
  </si>
  <si>
    <t>Banco coletivo com encosto</t>
  </si>
  <si>
    <t>Guarda-corpo móvel</t>
  </si>
  <si>
    <t>Balizador sólido</t>
  </si>
  <si>
    <t>Floreira</t>
  </si>
  <si>
    <t>Elemento de sombreamento verde</t>
  </si>
  <si>
    <t>Tutor para plantas</t>
  </si>
  <si>
    <t>Vasos</t>
  </si>
  <si>
    <t>Tótens Multiuso</t>
  </si>
  <si>
    <t>Tótem marco referencial</t>
  </si>
  <si>
    <t>Família de Bancos</t>
  </si>
  <si>
    <t xml:space="preserve"> 1 - Utilidade Pública 
(com  infraestrutura integrada)</t>
  </si>
  <si>
    <t>Família de Papeleiras</t>
  </si>
  <si>
    <t>Banco coletivo com encosto e apoios de braço</t>
  </si>
  <si>
    <t>Totem Orientativo</t>
  </si>
  <si>
    <t>Família de Guarda-Corpos</t>
  </si>
  <si>
    <t>Guarda-corpo fixo</t>
  </si>
  <si>
    <t>Família de Balizadores</t>
  </si>
  <si>
    <t>Conjunto de paraciclos</t>
  </si>
  <si>
    <t>Paraciclo unitário</t>
  </si>
  <si>
    <t>Papeleira dupla</t>
  </si>
  <si>
    <t>Papeleira individual</t>
  </si>
  <si>
    <t>Tótem de apoio</t>
  </si>
  <si>
    <t>2 - Descanso, convívio, proteção e utilidade e pública 
(sem infraestrutura integrada)</t>
  </si>
  <si>
    <t>3 - Paisagem, ambientação e adaptação climática</t>
  </si>
  <si>
    <t>Protetor de Raízes para canteiro de árvores</t>
  </si>
  <si>
    <t>Concurso Nacional de Mobiliário Urbano para São Paulo - fase II 
Quadro Resumo de Valores</t>
  </si>
  <si>
    <t>TOTAL COM BDI</t>
  </si>
  <si>
    <r>
      <t xml:space="preserve">(a): </t>
    </r>
    <r>
      <rPr>
        <sz val="9"/>
        <color rgb="FFEE0000"/>
        <rFont val="Calibri"/>
        <family val="2"/>
        <scheme val="minor"/>
      </rPr>
      <t>DESCRIÇÃO DOS FATORES ESPECÍFICOS</t>
    </r>
  </si>
  <si>
    <r>
      <t>(b):</t>
    </r>
    <r>
      <rPr>
        <sz val="9"/>
        <color rgb="FFEE0000"/>
        <rFont val="Calibri"/>
        <family val="2"/>
        <scheme val="minor"/>
      </rPr>
      <t xml:space="preserve"> DESCRIÇÃO DOS FATORES ESPECÍFICOS</t>
    </r>
  </si>
  <si>
    <r>
      <t xml:space="preserve">(c ): </t>
    </r>
    <r>
      <rPr>
        <sz val="9"/>
        <color rgb="FFEE0000"/>
        <rFont val="Calibri"/>
        <family val="2"/>
        <scheme val="minor"/>
      </rPr>
      <t>DESCRIÇÃO DOS FATORES ESPECÍFICOS</t>
    </r>
  </si>
  <si>
    <r>
      <rPr>
        <sz val="9"/>
        <color theme="1"/>
        <rFont val="Calibri"/>
        <family val="2"/>
        <scheme val="minor"/>
      </rPr>
      <t xml:space="preserve">(d): </t>
    </r>
    <r>
      <rPr>
        <sz val="9"/>
        <color rgb="FFEE0000"/>
        <rFont val="Calibri"/>
        <family val="2"/>
        <scheme val="minor"/>
      </rPr>
      <t>DESCRIÇÃO DOS FATORES ESPECÍFICOS</t>
    </r>
  </si>
  <si>
    <r>
      <rPr>
        <sz val="9"/>
        <color theme="1"/>
        <rFont val="Calibri"/>
        <family val="2"/>
        <scheme val="minor"/>
      </rPr>
      <t xml:space="preserve">(e): </t>
    </r>
    <r>
      <rPr>
        <sz val="9"/>
        <color rgb="FFEE0000"/>
        <rFont val="Calibri"/>
        <family val="2"/>
        <scheme val="minor"/>
      </rPr>
      <t>DESCRIÇÃO DOS FATORES ESPECÍFICOS</t>
    </r>
  </si>
  <si>
    <t>REFERÊNCIAS DA ORIGEM DE CUSTOS</t>
  </si>
  <si>
    <t>CPU001</t>
  </si>
  <si>
    <t>Xxxxx xxx xxxxx xxxxxxxx xx xxxxx Xxxx Xxxxxxxx</t>
  </si>
  <si>
    <t>Xxx xx xxx xxx xx xxx xxxxx</t>
  </si>
  <si>
    <t>Xxxxx xxx xxxxxxxxx xx xxxxxxxxx xxx xx xxx</t>
  </si>
  <si>
    <t>Xxxxx xxx xxxx Xxxx Xxxxxxxx xx xxxxx xxx</t>
  </si>
  <si>
    <t>Xxxxx xxx xxxxx xxxx xxxx xx xxxxx X xxx Xxxx xxxx</t>
  </si>
  <si>
    <t>un</t>
  </si>
  <si>
    <t>m2</t>
  </si>
  <si>
    <t>L</t>
  </si>
  <si>
    <t>xxxxxx</t>
  </si>
  <si>
    <t xml:space="preserve">xxx </t>
  </si>
  <si>
    <t>xx</t>
  </si>
  <si>
    <t xml:space="preserve">x </t>
  </si>
  <si>
    <r>
      <t xml:space="preserve">Indicar em "UNID." a </t>
    </r>
    <r>
      <rPr>
        <b/>
        <sz val="11"/>
        <color theme="1"/>
        <rFont val="Calibri"/>
        <family val="2"/>
        <scheme val="minor"/>
      </rPr>
      <t>unidade de medida</t>
    </r>
    <r>
      <rPr>
        <sz val="11"/>
        <color theme="1"/>
        <rFont val="Calibri"/>
        <family val="2"/>
        <scheme val="minor"/>
      </rPr>
      <t xml:space="preserve"> do material ou serviço listado.</t>
    </r>
  </si>
  <si>
    <t>Informar o CUSTO UNITÁRIO definido em documento de referência ou CPU para o material ou serviço listado.</t>
  </si>
  <si>
    <t>unidade</t>
  </si>
  <si>
    <t>código</t>
  </si>
  <si>
    <t>Na tabela MEMÓRIA DE CÁLCULO, atribuir valores de dimensão e fatores específicos para definição da quantidade (QUANT.) na Planilha de Composição de Custos.</t>
  </si>
  <si>
    <r>
      <t xml:space="preserve">Descrever eventuais </t>
    </r>
    <r>
      <rPr>
        <b/>
        <sz val="11"/>
        <color theme="1"/>
        <rFont val="Calibri"/>
        <family val="2"/>
        <scheme val="minor"/>
      </rPr>
      <t>fatores específicos</t>
    </r>
    <r>
      <rPr>
        <sz val="11"/>
        <color theme="1"/>
        <rFont val="Calibri"/>
        <family val="2"/>
        <scheme val="minor"/>
      </rPr>
      <t xml:space="preserve"> que compõem a Memória de Cálculo. Novas linhas podem ser adicionadas para adição de fatores.</t>
    </r>
  </si>
  <si>
    <r>
      <t xml:space="preserve">As células com exemplificação em </t>
    </r>
    <r>
      <rPr>
        <sz val="11"/>
        <color rgb="FFFF0000"/>
        <rFont val="Calibri"/>
        <family val="2"/>
        <scheme val="minor"/>
      </rPr>
      <t>vermelho</t>
    </r>
    <r>
      <rPr>
        <sz val="11"/>
        <color theme="1"/>
        <rFont val="Calibri"/>
        <family val="2"/>
        <scheme val="minor"/>
      </rPr>
      <t xml:space="preserve"> devem ser alteradas ou apagadas conforme necessidade. A mesma dinâmica é válida para todos os elementos para sua Composição de Custos. </t>
    </r>
  </si>
  <si>
    <r>
      <t xml:space="preserve">Indicar em "CÓDIGO" a numeração determinada para o </t>
    </r>
    <r>
      <rPr>
        <b/>
        <sz val="11"/>
        <rFont val="Calibri"/>
        <family val="2"/>
        <scheme val="minor"/>
      </rPr>
      <t>material</t>
    </r>
    <r>
      <rPr>
        <sz val="11"/>
        <color theme="1"/>
        <rFont val="Calibri"/>
        <family val="2"/>
        <scheme val="minor"/>
      </rPr>
      <t xml:space="preserve"> ou </t>
    </r>
    <r>
      <rPr>
        <b/>
        <sz val="11"/>
        <color theme="1"/>
        <rFont val="Calibri"/>
        <family val="2"/>
        <scheme val="minor"/>
      </rPr>
      <t>serviço</t>
    </r>
    <r>
      <rPr>
        <sz val="11"/>
        <color theme="1"/>
        <rFont val="Calibri"/>
        <family val="2"/>
        <scheme val="minor"/>
      </rPr>
      <t xml:space="preserve"> na documentação de </t>
    </r>
    <r>
      <rPr>
        <b/>
        <sz val="11"/>
        <color theme="1"/>
        <rFont val="Calibri"/>
        <family val="2"/>
        <scheme val="minor"/>
      </rPr>
      <t>ORIGEM DE CUSTOS</t>
    </r>
    <r>
      <rPr>
        <sz val="11"/>
        <color theme="1"/>
        <rFont val="Calibri"/>
        <family val="2"/>
        <scheme val="minor"/>
      </rPr>
      <t xml:space="preserve"> ou na </t>
    </r>
    <r>
      <rPr>
        <b/>
        <sz val="11"/>
        <color theme="1"/>
        <rFont val="Calibri"/>
        <family val="2"/>
        <scheme val="minor"/>
      </rPr>
      <t>CPU</t>
    </r>
    <r>
      <rPr>
        <sz val="11"/>
        <color theme="1"/>
        <rFont val="Calibri"/>
        <family val="2"/>
        <scheme val="minor"/>
      </rPr>
      <t xml:space="preserve"> (Composição de Preço Unitário disponível na </t>
    </r>
    <r>
      <rPr>
        <b/>
        <sz val="11"/>
        <color theme="1"/>
        <rFont val="Calibri"/>
        <family val="2"/>
        <scheme val="minor"/>
      </rPr>
      <t>Planilha "3-MODELO COMP PREÇ UNIT"</t>
    </r>
    <r>
      <rPr>
        <sz val="11"/>
        <color theme="1"/>
        <rFont val="Calibri"/>
        <family val="2"/>
        <scheme val="minor"/>
      </rPr>
      <t>).</t>
    </r>
  </si>
  <si>
    <r>
      <t xml:space="preserve">Inserir descrição para cada </t>
    </r>
    <r>
      <rPr>
        <b/>
        <sz val="11"/>
        <color theme="1"/>
        <rFont val="Calibri"/>
        <family val="2"/>
        <scheme val="minor"/>
      </rPr>
      <t>material</t>
    </r>
    <r>
      <rPr>
        <sz val="11"/>
        <color theme="1"/>
        <rFont val="Calibri"/>
        <family val="2"/>
        <scheme val="minor"/>
      </rPr>
      <t xml:space="preserve"> ou </t>
    </r>
    <r>
      <rPr>
        <b/>
        <sz val="11"/>
        <color theme="1"/>
        <rFont val="Calibri"/>
        <family val="2"/>
        <scheme val="minor"/>
      </rPr>
      <t>serviço</t>
    </r>
    <r>
      <rPr>
        <sz val="11"/>
        <color theme="1"/>
        <rFont val="Calibri"/>
        <family val="2"/>
        <scheme val="minor"/>
      </rPr>
      <t xml:space="preserve"> que englobe o projeto e produção do ELEMENTO de mobiliário.</t>
    </r>
  </si>
  <si>
    <t>Na planilha "3-MODELO COMP PREÇ UNIT", preencher os valores para definição de Preço Unitário a ser relacionado e preenchido de forma manual posteriormente, como item na Composição de Custos para cada Elemento na Planilha 2</t>
  </si>
  <si>
    <t>A soma dos valores SUBTOTAIS de cada Elemento ocorrerá automaticamente, assim como seu preenchimento equivalente e soma no QUADRO RESUMO, na Planilha-1.</t>
  </si>
  <si>
    <t/>
  </si>
  <si>
    <t>1.1.1</t>
  </si>
  <si>
    <t>1.1.2</t>
  </si>
  <si>
    <t>Quiosque médio porte</t>
  </si>
  <si>
    <t>Quiosque grande porte</t>
  </si>
  <si>
    <t>QUIOSQUE GRANDE PORTE</t>
  </si>
  <si>
    <t>QUIOSQUE MÉDIO PORTE</t>
  </si>
  <si>
    <t>Inserção e Remoção de Linhas: Utilize os botões disponibilizados, lembrando que os botões funcionam com base na célula selecionada (para remoção, a célula selecionada removerá linha toda na qual está inserida; para inserção, a linha será inserida abaixo da célula selecionada). ATENÇÃO: A CÉLULA DELETADA OU INSERIDA NÃO PODE SER RECUPERADA/ APAGADA POR COMANDO "DESFAZER" (CTRL+Z).</t>
  </si>
  <si>
    <t>Ao abrir esta planilha pela primeira vez, clicar no botão "Habilitar Conteúdo" e depois clicar no botão "Sim".</t>
  </si>
  <si>
    <t>-</t>
  </si>
  <si>
    <r>
      <t>Preencher em "REFERÊNCIAS DA ORIGEM DE CUSTOS" a "</t>
    </r>
    <r>
      <rPr>
        <sz val="11"/>
        <color rgb="FFEE0000"/>
        <rFont val="Calibri"/>
        <family val="2"/>
        <scheme val="minor"/>
      </rPr>
      <t>REFERÊNCIA XX</t>
    </r>
    <r>
      <rPr>
        <sz val="11"/>
        <rFont val="Calibri"/>
        <family val="2"/>
        <scheme val="minor"/>
      </rPr>
      <t>"</t>
    </r>
    <r>
      <rPr>
        <sz val="11"/>
        <color rgb="FFEE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de </t>
    </r>
    <r>
      <rPr>
        <b/>
        <sz val="11"/>
        <rFont val="Calibri"/>
        <family val="2"/>
        <scheme val="minor"/>
      </rPr>
      <t>tabela de custos</t>
    </r>
    <r>
      <rPr>
        <sz val="11"/>
        <rFont val="Calibri"/>
        <family val="2"/>
        <scheme val="minor"/>
      </rPr>
      <t xml:space="preserve"> utilizada (exemplo SIURB EDIF JAN 2025), para posterior preenchimento na coluna "ORIGEM DE CUSTOS" com os asteriscos correspondentes à referência.</t>
    </r>
  </si>
  <si>
    <t>ID Participante:</t>
  </si>
  <si>
    <t>XXXX</t>
  </si>
  <si>
    <t>Ao final da tabela, deverá ser informado o número do ID do participante;</t>
  </si>
  <si>
    <t>Para Salvar o documento em PDF, clique no botão ao lado. Siga as instruções para renomear o arquivo e informar o local de salvamento. Na aba 1-MODELO QUADRO RESUMO, para salvar o documento completo em PDF, clique no botão "Salvar Tudo PDF".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</si>
</sst>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"/>
    <numFmt numFmtId="165" formatCode="_-[$R$-416]\ * #,##0.00_-;\-[$R$-416]\ * #,##0.00_-;_-[$R$-416]\ * &quot;-&quot;??_-;_-@_-"/>
    <numFmt numFmtId="166" formatCode="0000"/>
  </numFmts>
  <fonts count="3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0070C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EE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EE0000"/>
      <name val="Calibri"/>
      <family val="2"/>
      <scheme val="minor"/>
    </font>
    <font>
      <b/>
      <sz val="11"/>
      <color rgb="FFEE0000"/>
      <name val="Calibri"/>
      <family val="2"/>
      <scheme val="minor"/>
    </font>
    <font>
      <sz val="11"/>
      <color rgb="FFEE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 style="double">
        <color theme="0" tint="-0.499984740745262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 style="double">
        <color theme="0" tint="-0.499984740745262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 style="double">
        <color theme="0" tint="-0.499984740745262"/>
      </bottom>
      <diagonal/>
    </border>
    <border>
      <left/>
      <right style="double">
        <color theme="0" tint="-0.499984740745262"/>
      </right>
      <top/>
      <bottom/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6" fillId="0" borderId="0"/>
    <xf numFmtId="0" fontId="5" fillId="0" borderId="0"/>
    <xf numFmtId="0" fontId="5" fillId="0" borderId="0"/>
    <xf numFmtId="44" fontId="4" fillId="0" borderId="0" applyFont="0" applyFill="0" applyBorder="0" applyAlignment="0" applyProtection="0"/>
  </cellStyleXfs>
  <cellXfs count="2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43" fontId="0" fillId="4" borderId="0" xfId="6" applyNumberFormat="1" applyFont="1" applyFill="1" applyAlignment="1">
      <alignment vertical="center"/>
    </xf>
    <xf numFmtId="43" fontId="0" fillId="5" borderId="0" xfId="6" applyNumberFormat="1" applyFont="1" applyFill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11" fillId="6" borderId="0" xfId="0" applyFont="1" applyFill="1" applyAlignment="1">
      <alignment horizontal="center" vertical="center"/>
    </xf>
    <xf numFmtId="0" fontId="11" fillId="0" borderId="0" xfId="0" applyFont="1"/>
    <xf numFmtId="0" fontId="0" fillId="3" borderId="0" xfId="0" applyFill="1"/>
    <xf numFmtId="0" fontId="9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0" fillId="3" borderId="0" xfId="0" applyFill="1" applyAlignment="1">
      <alignment horizontal="center" vertical="center" wrapText="1"/>
    </xf>
    <xf numFmtId="2" fontId="17" fillId="0" borderId="0" xfId="0" applyNumberFormat="1" applyFont="1" applyAlignment="1">
      <alignment horizontal="centerContinuous" vertical="center"/>
    </xf>
    <xf numFmtId="2" fontId="17" fillId="0" borderId="0" xfId="0" applyNumberFormat="1" applyFont="1" applyAlignment="1">
      <alignment horizontal="centerContinuous" vertical="center" wrapText="1"/>
    </xf>
    <xf numFmtId="2" fontId="17" fillId="0" borderId="0" xfId="0" applyNumberFormat="1" applyFont="1" applyAlignment="1">
      <alignment horizontal="center" vertical="center" wrapText="1"/>
    </xf>
    <xf numFmtId="2" fontId="15" fillId="0" borderId="0" xfId="0" applyNumberFormat="1" applyFont="1" applyAlignment="1">
      <alignment horizontal="centerContinuous" vertical="center"/>
    </xf>
    <xf numFmtId="0" fontId="0" fillId="3" borderId="0" xfId="0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165" fontId="10" fillId="3" borderId="0" xfId="0" applyNumberFormat="1" applyFont="1" applyFill="1" applyAlignment="1">
      <alignment horizontal="right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14" fontId="2" fillId="7" borderId="15" xfId="0" applyNumberFormat="1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10" fillId="3" borderId="0" xfId="0" applyFont="1" applyFill="1" applyAlignment="1">
      <alignment horizontal="right" vertical="center" wrapText="1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43" fontId="0" fillId="10" borderId="0" xfId="6" applyNumberFormat="1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43" fontId="0" fillId="11" borderId="0" xfId="6" applyNumberFormat="1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3" fontId="0" fillId="12" borderId="0" xfId="6" applyNumberFormat="1" applyFont="1" applyFill="1" applyAlignment="1">
      <alignment vertical="center"/>
    </xf>
    <xf numFmtId="0" fontId="0" fillId="13" borderId="0" xfId="0" applyFill="1" applyAlignment="1">
      <alignment vertical="center"/>
    </xf>
    <xf numFmtId="43" fontId="0" fillId="13" borderId="0" xfId="6" applyNumberFormat="1" applyFont="1" applyFill="1" applyAlignment="1">
      <alignment vertical="center"/>
    </xf>
    <xf numFmtId="0" fontId="2" fillId="12" borderId="0" xfId="0" applyFont="1" applyFill="1" applyAlignment="1">
      <alignment horizontal="left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vertical="center"/>
    </xf>
    <xf numFmtId="0" fontId="0" fillId="14" borderId="0" xfId="0" applyFill="1" applyAlignment="1">
      <alignment vertical="center"/>
    </xf>
    <xf numFmtId="43" fontId="0" fillId="14" borderId="0" xfId="6" applyNumberFormat="1" applyFont="1" applyFill="1" applyAlignment="1">
      <alignment vertical="center"/>
    </xf>
    <xf numFmtId="0" fontId="2" fillId="15" borderId="0" xfId="0" applyFont="1" applyFill="1" applyAlignment="1">
      <alignment horizontal="left" vertical="center"/>
    </xf>
    <xf numFmtId="0" fontId="0" fillId="15" borderId="0" xfId="0" applyFill="1" applyAlignment="1">
      <alignment vertical="center"/>
    </xf>
    <xf numFmtId="43" fontId="0" fillId="15" borderId="0" xfId="6" applyNumberFormat="1" applyFont="1" applyFill="1" applyAlignment="1">
      <alignment vertical="center"/>
    </xf>
    <xf numFmtId="0" fontId="8" fillId="4" borderId="7" xfId="0" applyFont="1" applyFill="1" applyBorder="1" applyAlignment="1">
      <alignment vertical="center"/>
    </xf>
    <xf numFmtId="0" fontId="8" fillId="5" borderId="2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8" fillId="13" borderId="2" xfId="0" applyFont="1" applyFill="1" applyBorder="1" applyAlignment="1">
      <alignment vertical="center"/>
    </xf>
    <xf numFmtId="0" fontId="8" fillId="15" borderId="7" xfId="0" applyFont="1" applyFill="1" applyBorder="1" applyAlignment="1">
      <alignment vertical="center"/>
    </xf>
    <xf numFmtId="0" fontId="9" fillId="8" borderId="23" xfId="0" applyFont="1" applyFill="1" applyBorder="1" applyAlignment="1">
      <alignment horizontal="right" vertical="center"/>
    </xf>
    <xf numFmtId="8" fontId="23" fillId="8" borderId="25" xfId="0" applyNumberFormat="1" applyFont="1" applyFill="1" applyBorder="1"/>
    <xf numFmtId="8" fontId="9" fillId="8" borderId="0" xfId="0" applyNumberFormat="1" applyFont="1" applyFill="1"/>
    <xf numFmtId="0" fontId="9" fillId="8" borderId="27" xfId="0" applyFont="1" applyFill="1" applyBorder="1" applyAlignment="1">
      <alignment horizontal="right" vertical="center"/>
    </xf>
    <xf numFmtId="0" fontId="9" fillId="8" borderId="22" xfId="0" applyFont="1" applyFill="1" applyBorder="1" applyAlignment="1">
      <alignment horizontal="right" vertical="center"/>
    </xf>
    <xf numFmtId="0" fontId="9" fillId="8" borderId="28" xfId="0" applyFont="1" applyFill="1" applyBorder="1" applyAlignment="1">
      <alignment horizontal="right" vertical="center"/>
    </xf>
    <xf numFmtId="0" fontId="9" fillId="8" borderId="29" xfId="0" applyFont="1" applyFill="1" applyBorder="1" applyAlignment="1">
      <alignment horizontal="right" vertical="center"/>
    </xf>
    <xf numFmtId="0" fontId="22" fillId="8" borderId="30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9" fillId="8" borderId="7" xfId="0" applyFont="1" applyFill="1" applyBorder="1" applyAlignment="1">
      <alignment horizontal="left" vertical="center"/>
    </xf>
    <xf numFmtId="0" fontId="9" fillId="8" borderId="8" xfId="0" applyFont="1" applyFill="1" applyBorder="1" applyAlignment="1">
      <alignment horizontal="left" vertical="center"/>
    </xf>
    <xf numFmtId="43" fontId="8" fillId="16" borderId="2" xfId="0" applyNumberFormat="1" applyFont="1" applyFill="1" applyBorder="1" applyAlignment="1">
      <alignment vertical="center"/>
    </xf>
    <xf numFmtId="0" fontId="8" fillId="15" borderId="7" xfId="0" applyFont="1" applyFill="1" applyBorder="1" applyAlignment="1">
      <alignment horizontal="center" vertical="center"/>
    </xf>
    <xf numFmtId="0" fontId="0" fillId="0" borderId="0" xfId="0" quotePrefix="1"/>
    <xf numFmtId="43" fontId="9" fillId="8" borderId="26" xfId="0" applyNumberFormat="1" applyFont="1" applyFill="1" applyBorder="1" applyAlignment="1">
      <alignment vertical="center"/>
    </xf>
    <xf numFmtId="43" fontId="0" fillId="0" borderId="0" xfId="6" applyNumberFormat="1" applyFont="1" applyAlignment="1">
      <alignment horizontal="center" vertical="center" wrapText="1"/>
    </xf>
    <xf numFmtId="2" fontId="17" fillId="10" borderId="0" xfId="0" applyNumberFormat="1" applyFont="1" applyFill="1" applyAlignment="1">
      <alignment horizontal="center" vertical="center" wrapText="1"/>
    </xf>
    <xf numFmtId="0" fontId="8" fillId="4" borderId="5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43" fontId="0" fillId="0" borderId="0" xfId="6" applyNumberFormat="1" applyFont="1" applyFill="1" applyAlignment="1">
      <alignment vertical="center"/>
    </xf>
    <xf numFmtId="43" fontId="17" fillId="16" borderId="2" xfId="0" applyNumberFormat="1" applyFont="1" applyFill="1" applyBorder="1" applyAlignment="1">
      <alignment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0" fillId="3" borderId="0" xfId="0" applyFill="1" applyAlignment="1">
      <alignment vertical="center"/>
    </xf>
    <xf numFmtId="0" fontId="0" fillId="0" borderId="31" xfId="0" applyBorder="1" applyAlignment="1">
      <alignment vertical="center"/>
    </xf>
    <xf numFmtId="43" fontId="0" fillId="0" borderId="31" xfId="6" applyNumberFormat="1" applyFont="1" applyBorder="1" applyAlignment="1">
      <alignment vertical="center"/>
    </xf>
    <xf numFmtId="2" fontId="17" fillId="0" borderId="31" xfId="0" applyNumberFormat="1" applyFont="1" applyBorder="1" applyAlignment="1">
      <alignment horizontal="center" vertical="center"/>
    </xf>
    <xf numFmtId="2" fontId="17" fillId="0" borderId="31" xfId="0" applyNumberFormat="1" applyFont="1" applyBorder="1" applyAlignment="1">
      <alignment vertical="center"/>
    </xf>
    <xf numFmtId="0" fontId="0" fillId="0" borderId="36" xfId="0" applyBorder="1" applyAlignment="1">
      <alignment horizontal="right" vertical="center"/>
    </xf>
    <xf numFmtId="0" fontId="0" fillId="16" borderId="36" xfId="0" applyFill="1" applyBorder="1" applyAlignment="1">
      <alignment horizontal="right" vertical="center"/>
    </xf>
    <xf numFmtId="2" fontId="17" fillId="0" borderId="0" xfId="0" applyNumberFormat="1" applyFont="1" applyAlignment="1">
      <alignment horizontal="center" vertical="center"/>
    </xf>
    <xf numFmtId="2" fontId="17" fillId="0" borderId="0" xfId="0" applyNumberFormat="1" applyFont="1" applyAlignment="1">
      <alignment vertical="center"/>
    </xf>
    <xf numFmtId="43" fontId="0" fillId="3" borderId="0" xfId="6" applyNumberFormat="1" applyFont="1" applyFill="1" applyAlignment="1">
      <alignment vertical="center"/>
    </xf>
    <xf numFmtId="2" fontId="17" fillId="3" borderId="0" xfId="0" applyNumberFormat="1" applyFont="1" applyFill="1" applyAlignment="1">
      <alignment horizontal="center" vertical="center"/>
    </xf>
    <xf numFmtId="2" fontId="17" fillId="3" borderId="0" xfId="0" applyNumberFormat="1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16" borderId="0" xfId="0" applyFont="1" applyFill="1" applyAlignment="1">
      <alignment horizontal="centerContinuous" vertical="center"/>
    </xf>
    <xf numFmtId="43" fontId="16" fillId="16" borderId="0" xfId="6" applyNumberFormat="1" applyFont="1" applyFill="1" applyAlignment="1">
      <alignment horizontal="centerContinuous" vertical="center" wrapText="1"/>
    </xf>
    <xf numFmtId="0" fontId="12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2" fontId="17" fillId="10" borderId="0" xfId="0" applyNumberFormat="1" applyFont="1" applyFill="1" applyAlignment="1">
      <alignment vertical="center"/>
    </xf>
    <xf numFmtId="43" fontId="0" fillId="0" borderId="0" xfId="6" applyNumberFormat="1" applyFont="1" applyAlignment="1">
      <alignment vertical="center"/>
    </xf>
    <xf numFmtId="0" fontId="2" fillId="5" borderId="0" xfId="0" applyFont="1" applyFill="1" applyAlignment="1">
      <alignment horizontal="left" vertical="center"/>
    </xf>
    <xf numFmtId="2" fontId="17" fillId="5" borderId="0" xfId="0" applyNumberFormat="1" applyFont="1" applyFill="1" applyAlignment="1">
      <alignment vertical="center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2" fontId="12" fillId="0" borderId="0" xfId="0" applyNumberFormat="1" applyFont="1" applyAlignment="1">
      <alignment vertical="center"/>
    </xf>
    <xf numFmtId="43" fontId="12" fillId="0" borderId="0" xfId="6" applyNumberFormat="1" applyFont="1" applyAlignment="1">
      <alignment vertical="center"/>
    </xf>
    <xf numFmtId="2" fontId="18" fillId="0" borderId="0" xfId="0" applyNumberFormat="1" applyFont="1" applyAlignment="1" applyProtection="1">
      <alignment horizontal="center" vertical="center"/>
      <protection locked="0"/>
    </xf>
    <xf numFmtId="0" fontId="0" fillId="3" borderId="1" xfId="0" applyFill="1" applyBorder="1" applyAlignment="1">
      <alignment vertical="center"/>
    </xf>
    <xf numFmtId="2" fontId="17" fillId="4" borderId="0" xfId="0" applyNumberFormat="1" applyFont="1" applyFill="1" applyAlignment="1">
      <alignment vertical="center"/>
    </xf>
    <xf numFmtId="0" fontId="12" fillId="0" borderId="0" xfId="0" applyFont="1" applyAlignment="1" applyProtection="1">
      <alignment vertical="center"/>
      <protection locked="0"/>
    </xf>
    <xf numFmtId="43" fontId="12" fillId="0" borderId="0" xfId="6" applyNumberFormat="1" applyFont="1" applyAlignment="1" applyProtection="1">
      <alignment vertical="center"/>
      <protection locked="0"/>
    </xf>
    <xf numFmtId="0" fontId="14" fillId="0" borderId="0" xfId="0" applyFont="1" applyAlignment="1">
      <alignment vertical="center"/>
    </xf>
    <xf numFmtId="2" fontId="18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43" fontId="0" fillId="0" borderId="0" xfId="6" applyNumberFormat="1" applyFont="1" applyAlignment="1" applyProtection="1">
      <alignment vertical="center"/>
      <protection locked="0"/>
    </xf>
    <xf numFmtId="2" fontId="17" fillId="11" borderId="0" xfId="0" applyNumberFormat="1" applyFont="1" applyFill="1" applyAlignment="1">
      <alignment vertical="center"/>
    </xf>
    <xf numFmtId="2" fontId="17" fillId="12" borderId="0" xfId="0" applyNumberFormat="1" applyFont="1" applyFill="1" applyAlignment="1">
      <alignment vertical="center"/>
    </xf>
    <xf numFmtId="0" fontId="2" fillId="13" borderId="0" xfId="0" applyFont="1" applyFill="1" applyAlignment="1">
      <alignment horizontal="left" vertical="center"/>
    </xf>
    <xf numFmtId="2" fontId="17" fillId="13" borderId="0" xfId="0" applyNumberFormat="1" applyFont="1" applyFill="1" applyAlignment="1">
      <alignment vertical="center"/>
    </xf>
    <xf numFmtId="2" fontId="17" fillId="13" borderId="0" xfId="0" applyNumberFormat="1" applyFont="1" applyFill="1" applyAlignment="1">
      <alignment horizontal="center" vertical="center"/>
    </xf>
    <xf numFmtId="2" fontId="17" fillId="14" borderId="0" xfId="0" applyNumberFormat="1" applyFont="1" applyFill="1" applyAlignment="1">
      <alignment vertical="center"/>
    </xf>
    <xf numFmtId="2" fontId="17" fillId="15" borderId="0" xfId="0" applyNumberFormat="1" applyFont="1" applyFill="1" applyAlignment="1">
      <alignment vertical="center"/>
    </xf>
    <xf numFmtId="0" fontId="11" fillId="6" borderId="0" xfId="0" applyFont="1" applyFill="1" applyAlignment="1">
      <alignment vertical="center"/>
    </xf>
    <xf numFmtId="43" fontId="11" fillId="6" borderId="0" xfId="6" applyNumberFormat="1" applyFont="1" applyFill="1" applyAlignment="1">
      <alignment vertical="center"/>
    </xf>
    <xf numFmtId="0" fontId="11" fillId="6" borderId="0" xfId="0" applyFont="1" applyFill="1" applyAlignment="1">
      <alignment horizontal="right" vertical="center"/>
    </xf>
    <xf numFmtId="43" fontId="11" fillId="6" borderId="0" xfId="6" applyNumberFormat="1" applyFont="1" applyFill="1" applyAlignment="1">
      <alignment horizontal="right" vertical="center"/>
    </xf>
    <xf numFmtId="0" fontId="11" fillId="6" borderId="0" xfId="0" applyFont="1" applyFill="1" applyAlignment="1">
      <alignment horizontal="left" vertical="center"/>
    </xf>
    <xf numFmtId="2" fontId="9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3" fontId="28" fillId="0" borderId="0" xfId="6" applyNumberFormat="1" applyFont="1" applyAlignment="1" applyProtection="1">
      <alignment horizontal="center" vertical="center"/>
    </xf>
    <xf numFmtId="2" fontId="28" fillId="0" borderId="0" xfId="0" applyNumberFormat="1" applyFont="1" applyAlignment="1">
      <alignment vertical="center"/>
    </xf>
    <xf numFmtId="43" fontId="28" fillId="0" borderId="0" xfId="6" applyNumberFormat="1" applyFont="1" applyAlignment="1" applyProtection="1">
      <alignment vertical="center"/>
    </xf>
    <xf numFmtId="0" fontId="28" fillId="3" borderId="0" xfId="0" applyFont="1" applyFill="1" applyAlignment="1">
      <alignment vertical="center"/>
    </xf>
    <xf numFmtId="43" fontId="26" fillId="0" borderId="0" xfId="6" applyNumberFormat="1" applyFont="1" applyAlignment="1" applyProtection="1">
      <alignment horizontal="center" vertical="center"/>
      <protection locked="0"/>
    </xf>
    <xf numFmtId="0" fontId="16" fillId="16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left" vertical="center"/>
    </xf>
    <xf numFmtId="2" fontId="18" fillId="4" borderId="0" xfId="0" applyNumberFormat="1" applyFont="1" applyFill="1" applyAlignment="1">
      <alignment horizontal="center" vertical="center"/>
    </xf>
    <xf numFmtId="2" fontId="17" fillId="4" borderId="0" xfId="0" applyNumberFormat="1" applyFont="1" applyFill="1" applyAlignment="1">
      <alignment horizontal="center" vertical="center"/>
    </xf>
    <xf numFmtId="0" fontId="0" fillId="16" borderId="36" xfId="0" applyFill="1" applyBorder="1" applyAlignment="1">
      <alignment vertical="center"/>
    </xf>
    <xf numFmtId="0" fontId="0" fillId="17" borderId="33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17" borderId="35" xfId="0" applyFill="1" applyBorder="1" applyAlignment="1">
      <alignment vertical="center"/>
    </xf>
    <xf numFmtId="0" fontId="2" fillId="9" borderId="0" xfId="0" applyFont="1" applyFill="1" applyAlignment="1">
      <alignment horizontal="left" vertical="center"/>
    </xf>
    <xf numFmtId="0" fontId="2" fillId="9" borderId="35" xfId="0" applyFont="1" applyFill="1" applyBorder="1" applyAlignment="1">
      <alignment horizontal="left" vertical="center"/>
    </xf>
    <xf numFmtId="0" fontId="11" fillId="3" borderId="37" xfId="0" applyFont="1" applyFill="1" applyBorder="1" applyAlignment="1">
      <alignment vertical="center"/>
    </xf>
    <xf numFmtId="0" fontId="27" fillId="9" borderId="33" xfId="0" applyFont="1" applyFill="1" applyBorder="1" applyAlignment="1">
      <alignment horizontal="left" vertical="center"/>
    </xf>
    <xf numFmtId="0" fontId="2" fillId="9" borderId="42" xfId="0" applyFont="1" applyFill="1" applyBorder="1" applyAlignment="1">
      <alignment horizontal="center" vertical="center"/>
    </xf>
    <xf numFmtId="0" fontId="20" fillId="9" borderId="42" xfId="0" applyFont="1" applyFill="1" applyBorder="1" applyAlignment="1" applyProtection="1">
      <alignment horizontal="center" vertical="center"/>
      <protection locked="0"/>
    </xf>
    <xf numFmtId="0" fontId="20" fillId="9" borderId="42" xfId="0" applyFont="1" applyFill="1" applyBorder="1" applyAlignment="1" applyProtection="1">
      <alignment horizontal="left" vertical="center" wrapText="1"/>
      <protection locked="0"/>
    </xf>
    <xf numFmtId="164" fontId="1" fillId="9" borderId="42" xfId="0" applyNumberFormat="1" applyFont="1" applyFill="1" applyBorder="1" applyAlignment="1" applyProtection="1">
      <alignment horizontal="center" vertical="center"/>
      <protection locked="0"/>
    </xf>
    <xf numFmtId="4" fontId="1" fillId="9" borderId="42" xfId="0" applyNumberFormat="1" applyFont="1" applyFill="1" applyBorder="1" applyAlignment="1" applyProtection="1">
      <alignment horizontal="center" vertical="center"/>
      <protection locked="0"/>
    </xf>
    <xf numFmtId="0" fontId="0" fillId="9" borderId="42" xfId="0" applyFill="1" applyBorder="1" applyAlignment="1" applyProtection="1">
      <alignment horizontal="center"/>
      <protection locked="0"/>
    </xf>
    <xf numFmtId="0" fontId="2" fillId="0" borderId="42" xfId="0" applyFont="1" applyBorder="1" applyAlignment="1">
      <alignment horizontal="center" vertical="center"/>
    </xf>
    <xf numFmtId="0" fontId="20" fillId="0" borderId="42" xfId="0" applyFont="1" applyBorder="1" applyAlignment="1" applyProtection="1">
      <alignment horizontal="center" vertical="center"/>
      <protection locked="0"/>
    </xf>
    <xf numFmtId="0" fontId="20" fillId="0" borderId="42" xfId="0" applyFont="1" applyBorder="1" applyAlignment="1" applyProtection="1">
      <alignment horizontal="left" vertical="center" wrapText="1"/>
      <protection locked="0"/>
    </xf>
    <xf numFmtId="164" fontId="1" fillId="0" borderId="42" xfId="0" applyNumberFormat="1" applyFont="1" applyBorder="1" applyAlignment="1" applyProtection="1">
      <alignment horizontal="center" vertical="center"/>
      <protection locked="0"/>
    </xf>
    <xf numFmtId="4" fontId="1" fillId="0" borderId="42" xfId="0" applyNumberFormat="1" applyFont="1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7" fillId="9" borderId="42" xfId="0" applyFont="1" applyFill="1" applyBorder="1" applyAlignment="1" applyProtection="1">
      <alignment horizontal="center" vertical="center"/>
      <protection locked="0"/>
    </xf>
    <xf numFmtId="0" fontId="7" fillId="9" borderId="42" xfId="0" applyFont="1" applyFill="1" applyBorder="1" applyAlignment="1" applyProtection="1">
      <alignment horizontal="left" vertical="center" wrapText="1"/>
      <protection locked="0"/>
    </xf>
    <xf numFmtId="0" fontId="7" fillId="0" borderId="42" xfId="0" applyFont="1" applyBorder="1" applyAlignment="1" applyProtection="1">
      <alignment horizontal="center" vertical="center"/>
      <protection locked="0"/>
    </xf>
    <xf numFmtId="0" fontId="7" fillId="0" borderId="42" xfId="0" applyFont="1" applyBorder="1" applyAlignment="1" applyProtection="1">
      <alignment horizontal="left" vertical="center" wrapText="1"/>
      <protection locked="0"/>
    </xf>
    <xf numFmtId="0" fontId="1" fillId="9" borderId="42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10" fillId="3" borderId="0" xfId="0" applyFont="1" applyFill="1" applyAlignment="1">
      <alignment horizontal="right"/>
    </xf>
    <xf numFmtId="166" fontId="0" fillId="0" borderId="43" xfId="0" applyNumberFormat="1" applyBorder="1" applyAlignment="1" applyProtection="1">
      <alignment horizontal="center"/>
      <protection locked="0"/>
    </xf>
    <xf numFmtId="0" fontId="0" fillId="0" borderId="35" xfId="0" applyBorder="1" applyAlignment="1">
      <alignment horizontal="left" vertical="center"/>
    </xf>
    <xf numFmtId="0" fontId="0" fillId="9" borderId="36" xfId="0" applyFill="1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27" fillId="0" borderId="33" xfId="0" applyFont="1" applyBorder="1" applyAlignment="1">
      <alignment horizontal="left" vertical="center"/>
    </xf>
    <xf numFmtId="0" fontId="0" fillId="14" borderId="6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8" fillId="15" borderId="3" xfId="0" applyFont="1" applyFill="1" applyBorder="1" applyAlignment="1">
      <alignment horizontal="left" vertical="center"/>
    </xf>
    <xf numFmtId="0" fontId="8" fillId="15" borderId="4" xfId="0" applyFont="1" applyFill="1" applyBorder="1" applyAlignment="1">
      <alignment horizontal="left" vertical="center"/>
    </xf>
    <xf numFmtId="0" fontId="8" fillId="15" borderId="5" xfId="0" applyFont="1" applyFill="1" applyBorder="1" applyAlignment="1">
      <alignment horizontal="left" vertical="center"/>
    </xf>
    <xf numFmtId="0" fontId="8" fillId="12" borderId="3" xfId="0" applyFont="1" applyFill="1" applyBorder="1" applyAlignment="1">
      <alignment horizontal="left" vertical="center"/>
    </xf>
    <xf numFmtId="0" fontId="8" fillId="12" borderId="4" xfId="0" applyFont="1" applyFill="1" applyBorder="1" applyAlignment="1">
      <alignment horizontal="left" vertical="center"/>
    </xf>
    <xf numFmtId="0" fontId="8" fillId="12" borderId="5" xfId="0" applyFont="1" applyFill="1" applyBorder="1" applyAlignment="1">
      <alignment horizontal="left" vertical="center"/>
    </xf>
    <xf numFmtId="0" fontId="8" fillId="12" borderId="6" xfId="0" applyFont="1" applyFill="1" applyBorder="1" applyAlignment="1">
      <alignment horizontal="left" vertical="center"/>
    </xf>
    <xf numFmtId="0" fontId="8" fillId="12" borderId="7" xfId="0" applyFont="1" applyFill="1" applyBorder="1" applyAlignment="1">
      <alignment horizontal="left" vertical="center"/>
    </xf>
    <xf numFmtId="0" fontId="8" fillId="12" borderId="6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 wrapText="1"/>
    </xf>
    <xf numFmtId="0" fontId="0" fillId="10" borderId="23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7" xfId="0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/>
    </xf>
    <xf numFmtId="0" fontId="8" fillId="12" borderId="20" xfId="0" applyFont="1" applyFill="1" applyBorder="1" applyAlignment="1">
      <alignment horizontal="left" vertical="center"/>
    </xf>
    <xf numFmtId="0" fontId="8" fillId="12" borderId="2" xfId="0" applyFont="1" applyFill="1" applyBorder="1" applyAlignment="1">
      <alignment horizontal="left" vertical="center"/>
    </xf>
    <xf numFmtId="0" fontId="8" fillId="4" borderId="6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8" fillId="12" borderId="8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left" vertical="center"/>
    </xf>
    <xf numFmtId="0" fontId="8" fillId="4" borderId="4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left" vertical="center"/>
    </xf>
    <xf numFmtId="0" fontId="9" fillId="3" borderId="22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left" vertical="center"/>
    </xf>
    <xf numFmtId="0" fontId="0" fillId="11" borderId="6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8" fillId="12" borderId="21" xfId="0" applyFont="1" applyFill="1" applyBorder="1" applyAlignment="1">
      <alignment horizontal="left" vertical="center"/>
    </xf>
    <xf numFmtId="0" fontId="10" fillId="3" borderId="34" xfId="0" applyFont="1" applyFill="1" applyBorder="1" applyAlignment="1">
      <alignment horizontal="left" vertical="center"/>
    </xf>
    <xf numFmtId="0" fontId="10" fillId="3" borderId="32" xfId="0" applyFont="1" applyFill="1" applyBorder="1" applyAlignment="1">
      <alignment horizontal="left" vertical="center"/>
    </xf>
    <xf numFmtId="0" fontId="10" fillId="3" borderId="41" xfId="0" applyFont="1" applyFill="1" applyBorder="1" applyAlignment="1">
      <alignment horizontal="left" vertical="center"/>
    </xf>
    <xf numFmtId="0" fontId="0" fillId="9" borderId="33" xfId="0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0" fillId="9" borderId="35" xfId="0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2" fontId="17" fillId="0" borderId="0" xfId="0" applyNumberFormat="1" applyFont="1" applyAlignment="1">
      <alignment horizontal="center" vertical="center" wrapText="1"/>
    </xf>
    <xf numFmtId="43" fontId="0" fillId="0" borderId="0" xfId="6" applyNumberFormat="1" applyFont="1" applyAlignment="1">
      <alignment horizontal="center" vertical="center" wrapText="1"/>
    </xf>
    <xf numFmtId="2" fontId="17" fillId="4" borderId="0" xfId="0" applyNumberFormat="1" applyFont="1" applyFill="1" applyAlignment="1">
      <alignment horizontal="center" vertical="center" wrapText="1"/>
    </xf>
    <xf numFmtId="2" fontId="17" fillId="0" borderId="0" xfId="0" applyNumberFormat="1" applyFont="1" applyAlignment="1" applyProtection="1">
      <alignment horizontal="left" vertical="center"/>
      <protection locked="0"/>
    </xf>
    <xf numFmtId="2" fontId="12" fillId="0" borderId="0" xfId="0" applyNumberFormat="1" applyFont="1" applyAlignment="1" applyProtection="1">
      <alignment horizontal="left" vertical="center"/>
      <protection locked="0"/>
    </xf>
    <xf numFmtId="2" fontId="12" fillId="0" borderId="0" xfId="0" applyNumberFormat="1" applyFon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7" fillId="9" borderId="36" xfId="0" applyFont="1" applyFill="1" applyBorder="1" applyAlignment="1">
      <alignment horizontal="left" vertical="center" wrapText="1"/>
    </xf>
    <xf numFmtId="0" fontId="0" fillId="17" borderId="33" xfId="0" applyFill="1" applyBorder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17" borderId="35" xfId="0" applyFill="1" applyBorder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166" fontId="0" fillId="0" borderId="44" xfId="0" applyNumberFormat="1" applyBorder="1" applyAlignment="1" applyProtection="1">
      <alignment horizontal="center"/>
      <protection locked="0"/>
    </xf>
    <xf numFmtId="166" fontId="0" fillId="0" borderId="45" xfId="0" applyNumberFormat="1" applyBorder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3" borderId="46" xfId="0" applyFont="1" applyFill="1" applyBorder="1" applyAlignment="1">
      <alignment horizontal="center"/>
    </xf>
    <xf numFmtId="0" fontId="27" fillId="0" borderId="38" xfId="0" applyFont="1" applyBorder="1" applyAlignment="1">
      <alignment horizontal="left" vertical="center" wrapText="1"/>
    </xf>
    <xf numFmtId="0" fontId="27" fillId="0" borderId="31" xfId="0" applyFont="1" applyBorder="1" applyAlignment="1">
      <alignment horizontal="left" vertical="center" wrapText="1"/>
    </xf>
    <xf numFmtId="0" fontId="27" fillId="0" borderId="40" xfId="0" applyFont="1" applyBorder="1" applyAlignment="1">
      <alignment horizontal="left" vertical="center" wrapText="1"/>
    </xf>
    <xf numFmtId="0" fontId="2" fillId="15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1" fillId="2" borderId="3" xfId="0" applyFont="1" applyFill="1" applyBorder="1" applyAlignment="1">
      <alignment horizontal="center" vertical="center" wrapText="1"/>
    </xf>
    <xf numFmtId="0" fontId="21" fillId="2" borderId="4" xfId="0" applyFont="1" applyFill="1" applyBorder="1" applyAlignment="1">
      <alignment horizontal="center" vertical="center" wrapText="1"/>
    </xf>
    <xf numFmtId="0" fontId="21" fillId="2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19" fillId="0" borderId="14" xfId="0" applyFont="1" applyBorder="1" applyAlignment="1" applyProtection="1">
      <alignment horizontal="center" vertical="center"/>
      <protection locked="0"/>
    </xf>
    <xf numFmtId="0" fontId="2" fillId="7" borderId="9" xfId="0" applyFont="1" applyFill="1" applyBorder="1" applyAlignment="1">
      <alignment horizontal="left" vertical="center"/>
    </xf>
    <xf numFmtId="0" fontId="2" fillId="7" borderId="10" xfId="0" applyFon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left" vertical="center"/>
    </xf>
    <xf numFmtId="0" fontId="19" fillId="0" borderId="17" xfId="0" applyFont="1" applyBorder="1" applyAlignment="1" applyProtection="1">
      <alignment horizontal="left" vertical="center" wrapText="1"/>
      <protection locked="0"/>
    </xf>
    <xf numFmtId="0" fontId="19" fillId="0" borderId="18" xfId="0" applyFont="1" applyBorder="1" applyAlignment="1" applyProtection="1">
      <alignment horizontal="left" vertical="center" wrapText="1"/>
      <protection locked="0"/>
    </xf>
    <xf numFmtId="0" fontId="19" fillId="0" borderId="19" xfId="0" applyFont="1" applyBorder="1" applyAlignment="1" applyProtection="1">
      <alignment horizontal="left" vertical="center" wrapText="1"/>
      <protection locked="0"/>
    </xf>
  </cellXfs>
  <cellStyles count="7">
    <cellStyle name="Moeda" xfId="6" builtinId="4"/>
    <cellStyle name="Normal" xfId="0" builtinId="0"/>
    <cellStyle name="Normal 10 2" xfId="2" xr:uid="{2584B6C6-7758-4337-AAEE-023437D3D667}"/>
    <cellStyle name="Normal 2" xfId="4" xr:uid="{CA8915B4-E603-42A7-A75C-52C54D26B9DF}"/>
    <cellStyle name="Normal 2 2" xfId="3" xr:uid="{07395885-44AC-4C24-ABBB-25B3CD055167}"/>
    <cellStyle name="Normal 4" xfId="5" xr:uid="{25EA7695-441B-4821-8EED-15E3C305F893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</xdr:row>
      <xdr:rowOff>9525</xdr:rowOff>
    </xdr:from>
    <xdr:to>
      <xdr:col>1</xdr:col>
      <xdr:colOff>1563111</xdr:colOff>
      <xdr:row>2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E545DAF-7803-9A29-223C-D33B8A1BB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200025"/>
          <a:ext cx="1553587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</xdr:row>
          <xdr:rowOff>85725</xdr:rowOff>
        </xdr:from>
        <xdr:to>
          <xdr:col>6</xdr:col>
          <xdr:colOff>609600</xdr:colOff>
          <xdr:row>1</xdr:row>
          <xdr:rowOff>495300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657226</xdr:colOff>
      <xdr:row>1</xdr:row>
      <xdr:rowOff>1</xdr:rowOff>
    </xdr:from>
    <xdr:to>
      <xdr:col>7</xdr:col>
      <xdr:colOff>12527</xdr:colOff>
      <xdr:row>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F04BCB3-70CA-4893-BB60-CD9F3402DE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500" t="21705" r="36337" b="21706"/>
        <a:stretch>
          <a:fillRect/>
        </a:stretch>
      </xdr:blipFill>
      <xdr:spPr>
        <a:xfrm>
          <a:off x="9020176" y="133351"/>
          <a:ext cx="469726" cy="571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1762125</xdr:colOff>
          <xdr:row>1</xdr:row>
          <xdr:rowOff>95250</xdr:rowOff>
        </xdr:from>
        <xdr:to>
          <xdr:col>5</xdr:col>
          <xdr:colOff>2495550</xdr:colOff>
          <xdr:row>1</xdr:row>
          <xdr:rowOff>504825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Tudo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200026</xdr:colOff>
      <xdr:row>18</xdr:row>
      <xdr:rowOff>18450</xdr:rowOff>
    </xdr:from>
    <xdr:to>
      <xdr:col>3</xdr:col>
      <xdr:colOff>542926</xdr:colOff>
      <xdr:row>19</xdr:row>
      <xdr:rowOff>433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E5EC528-A029-7D22-7FCE-E629236E7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2875950"/>
          <a:ext cx="1676400" cy="6106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9</xdr:row>
          <xdr:rowOff>123825</xdr:rowOff>
        </xdr:from>
        <xdr:to>
          <xdr:col>1</xdr:col>
          <xdr:colOff>628650</xdr:colOff>
          <xdr:row>12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</xdr:row>
          <xdr:rowOff>47625</xdr:rowOff>
        </xdr:from>
        <xdr:to>
          <xdr:col>1</xdr:col>
          <xdr:colOff>638175</xdr:colOff>
          <xdr:row>9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</xdr:row>
          <xdr:rowOff>171450</xdr:rowOff>
        </xdr:from>
        <xdr:to>
          <xdr:col>1</xdr:col>
          <xdr:colOff>638175</xdr:colOff>
          <xdr:row>5</xdr:row>
          <xdr:rowOff>161925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784415</xdr:colOff>
      <xdr:row>17</xdr:row>
      <xdr:rowOff>179295</xdr:rowOff>
    </xdr:from>
    <xdr:to>
      <xdr:col>8</xdr:col>
      <xdr:colOff>1309404</xdr:colOff>
      <xdr:row>19</xdr:row>
      <xdr:rowOff>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429A4E7-2976-4D49-81A2-9627E2FEBC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500" t="21705" r="36337" b="21706"/>
        <a:stretch>
          <a:fillRect/>
        </a:stretch>
      </xdr:blipFill>
      <xdr:spPr>
        <a:xfrm>
          <a:off x="10589562" y="3608295"/>
          <a:ext cx="524989" cy="6387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95250</xdr:rowOff>
        </xdr:from>
        <xdr:to>
          <xdr:col>10</xdr:col>
          <xdr:colOff>57150</xdr:colOff>
          <xdr:row>6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38100</xdr:colOff>
      <xdr:row>3</xdr:row>
      <xdr:rowOff>76200</xdr:rowOff>
    </xdr:from>
    <xdr:to>
      <xdr:col>3</xdr:col>
      <xdr:colOff>771525</xdr:colOff>
      <xdr:row>3</xdr:row>
      <xdr:rowOff>685712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CEACFC-643D-4E26-9234-0D611645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276225"/>
          <a:ext cx="1676400" cy="6095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457200</xdr:rowOff>
        </xdr:from>
        <xdr:to>
          <xdr:col>11</xdr:col>
          <xdr:colOff>76200</xdr:colOff>
          <xdr:row>5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9525</xdr:rowOff>
        </xdr:from>
        <xdr:to>
          <xdr:col>11</xdr:col>
          <xdr:colOff>76200</xdr:colOff>
          <xdr:row>3</xdr:row>
          <xdr:rowOff>419100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742950</xdr:colOff>
      <xdr:row>2</xdr:row>
      <xdr:rowOff>190499</xdr:rowOff>
    </xdr:from>
    <xdr:to>
      <xdr:col>8</xdr:col>
      <xdr:colOff>1371600</xdr:colOff>
      <xdr:row>4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ADC8FA5-21A6-D130-91CA-58104A8223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840" t="21126" r="37016" b="20424"/>
        <a:stretch>
          <a:fillRect/>
        </a:stretch>
      </xdr:blipFill>
      <xdr:spPr>
        <a:xfrm>
          <a:off x="11963400" y="190499"/>
          <a:ext cx="628650" cy="790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457200</xdr:rowOff>
        </xdr:from>
        <xdr:to>
          <xdr:col>10</xdr:col>
          <xdr:colOff>57150</xdr:colOff>
          <xdr:row>5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Bloco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9525</xdr:rowOff>
        </xdr:from>
        <xdr:to>
          <xdr:col>10</xdr:col>
          <xdr:colOff>57150</xdr:colOff>
          <xdr:row>3</xdr:row>
          <xdr:rowOff>419100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Bloco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cro1\c\Meus%20documentos\MOD-A01-R1-AGO9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mmbb\HELN-M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duoh-109/Documents/Licita&#231;&#245;es/-%20Cronogramas/CFF%20-%20Tibagi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f5054fs201\SUGOV_PUBLICO\Users\c111526\Desktop\GERAL\TABELAS%20CUSTOS\SINAPI%202014\4_2014%20ABRIL\OR&#199;AMENTO%20e%20SINAPI%20Abr%201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-%20Backup%20Ricardo\-%20Biblioteca\-%20Profissional\-%20Icanp\S&#195;O%20CAETANO%20DO%20SUL\SENADOR%20FL&#193;QUER\OBSOLETOS\OR&#8364;AMENTO_R08\OR&#8364;AMENTO_R08\DESONERADO\SCS_SENADOR%20FLAQUER_OR&#8364;_R08%20-%20DESONERAD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Nova04/Desktop/pendentes/Escola%20Crixa/Users/Pichau/Desktop/Planilha%20CODHAB/BDI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duoh-109/Documents/PMSCS/Projetos/AGITH/2021/PE&#199;AS%20T&#201;CNICAS/PLANILHAS/ORC-AGT-R00-V0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O"/>
      <sheetName val="Espelho-Hab"/>
      <sheetName val="HABITAÇÃO"/>
      <sheetName val="Espelho-Infra"/>
      <sheetName val="INFRA"/>
      <sheetName val="Cronog-Global"/>
      <sheetName val="Cronog-hab"/>
      <sheetName val="Cronog-Infra"/>
      <sheetName val="Espec.HB fl. 01,03 e 04"/>
      <sheetName val="Espec.HB fl. 02"/>
      <sheetName val="BD"/>
      <sheetName val="Apo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DIÇÃO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 DO CONTRATO"/>
      <sheetName val="CRONOGRAMA_LICITAÇÃO"/>
      <sheetName val="CRONOGRAMA_EMPRESA"/>
      <sheetName val="DADOS_DO_CONTRATO2"/>
      <sheetName val="DADOS_DO_CONTRATO"/>
      <sheetName val="DADOS_DO_CONTRATO1"/>
    </sheetNames>
    <sheetDataSet>
      <sheetData sheetId="0">
        <row r="4">
          <cell r="B4" t="str">
            <v>180</v>
          </cell>
        </row>
      </sheetData>
      <sheetData sheetId="1" refreshError="1"/>
      <sheetData sheetId="2" refreshError="1"/>
      <sheetData sheetId="3">
        <row r="4">
          <cell r="B4" t="str">
            <v>180</v>
          </cell>
        </row>
      </sheetData>
      <sheetData sheetId="4">
        <row r="4">
          <cell r="B4" t="str">
            <v>180</v>
          </cell>
        </row>
      </sheetData>
      <sheetData sheetId="5">
        <row r="4">
          <cell r="B4" t="str">
            <v>180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lha"/>
      <sheetName val="Sinapi"/>
      <sheetName val="habitação"/>
    </sheetNames>
    <sheetDataSet>
      <sheetData sheetId="0" refreshError="1"/>
      <sheetData sheetId="1" refreshError="1">
        <row r="3">
          <cell r="B3">
            <v>0</v>
          </cell>
          <cell r="C3">
            <v>0</v>
          </cell>
          <cell r="D3">
            <v>0</v>
          </cell>
        </row>
        <row r="5">
          <cell r="A5" t="str">
            <v>Código</v>
          </cell>
          <cell r="B5" t="str">
            <v>DESCRICAO DA COMPOSICAO</v>
          </cell>
          <cell r="C5" t="str">
            <v>UNIDADE</v>
          </cell>
          <cell r="D5" t="str">
            <v>CUSTO TOTAL</v>
          </cell>
        </row>
        <row r="7">
          <cell r="A7" t="str">
            <v>73887/1</v>
          </cell>
          <cell r="B7" t="str">
            <v>ASSENTAMENTO SIMPLES DE TUBOS DE FERRO FUNDIDO (FOFO) C/ JUNTA ELASTICA -  DN 75 MM - INCLUSIVE TRANSPORTE</v>
          </cell>
          <cell r="C7" t="str">
            <v>M</v>
          </cell>
          <cell r="D7">
            <v>2.1</v>
          </cell>
        </row>
        <row r="8">
          <cell r="A8" t="str">
            <v>73887/2</v>
          </cell>
          <cell r="B8" t="str">
            <v>ASSENTAMENTO SIMPLES DE TUBOS DE FERRO FUNDIDO (FOFO) C/ JUNTA ELASTICA - DN 100 - INCLUSIVE TRANSPORTE</v>
          </cell>
          <cell r="C8" t="str">
            <v>M</v>
          </cell>
          <cell r="D8">
            <v>2.54</v>
          </cell>
        </row>
        <row r="9">
          <cell r="A9" t="str">
            <v>73887/3</v>
          </cell>
          <cell r="B9" t="str">
            <v>ASSENTAMENTO SIMPLES DE TUBOS DE FERRO FUNDIDO (FOFO) C/ JUNTA ELASTICA - DN 150 - INCLUSIVE TRANSPORTE</v>
          </cell>
          <cell r="C9" t="str">
            <v>M</v>
          </cell>
          <cell r="D9">
            <v>4.57</v>
          </cell>
        </row>
        <row r="10">
          <cell r="A10" t="str">
            <v>73887/4</v>
          </cell>
          <cell r="B10" t="str">
            <v>ASSENTAMENTO SIMPLES DE TUBOS DE FERRO FUNDIDO (FOFO) C/ JUNTA ELASTICA - DN 200 - INCLUSIVE TRANSPORTE</v>
          </cell>
          <cell r="C10" t="str">
            <v>M</v>
          </cell>
          <cell r="D10">
            <v>5.85</v>
          </cell>
        </row>
        <row r="11">
          <cell r="A11" t="str">
            <v>73887/5</v>
          </cell>
          <cell r="B11" t="str">
            <v>ASSENTAMENTO SIMPLES DE TUBOS DE FERRO FUNDIDO (FOFO) C/ JUNTA ELASTICA - DN 250 MM - INCLUSIVE TRANSPORTE</v>
          </cell>
          <cell r="C11" t="str">
            <v>M</v>
          </cell>
          <cell r="D11">
            <v>7.08</v>
          </cell>
        </row>
        <row r="12">
          <cell r="A12" t="str">
            <v>73887/6</v>
          </cell>
          <cell r="B12" t="str">
            <v>ASSENTAMENTO SIMPLES DE TUBOS DE FERRO FUNDIDO (FOFO) C/ JUNTA ELASTICA - DN 300 - INCLUSIVE TRANSPORTE</v>
          </cell>
          <cell r="C12" t="str">
            <v>M</v>
          </cell>
          <cell r="D12">
            <v>8.01</v>
          </cell>
        </row>
        <row r="13">
          <cell r="A13" t="str">
            <v>73887/7</v>
          </cell>
          <cell r="B13" t="str">
            <v>ASSENTAMENTO SIMPLES DE TUBOS DE FERRO FUNDIDO (FOFO) C/ JUNTA ELASTICA - DN 350 MM - INCLUSIVE TRANSPORTE</v>
          </cell>
          <cell r="C13" t="str">
            <v>M</v>
          </cell>
          <cell r="D13">
            <v>9.39</v>
          </cell>
        </row>
        <row r="14">
          <cell r="A14" t="str">
            <v>73887/8</v>
          </cell>
          <cell r="B14" t="str">
            <v>ASSENTAMENTO SIMPLES DE TUBOS DE FERRO FUNDIDO (FOFO) C/ JUNTA ELASTICA - DN 400 MM - INCLUSIVE TRANSPORTE</v>
          </cell>
          <cell r="C14" t="str">
            <v>M</v>
          </cell>
          <cell r="D14">
            <v>10.76</v>
          </cell>
        </row>
        <row r="15">
          <cell r="A15" t="str">
            <v>73887/9</v>
          </cell>
          <cell r="B15" t="str">
            <v>ASSENTAMENTO SIMPLES DE TUBOS DE FERRO FUNDIDO (FOFO) C/ JUNTA ELASTICA - DN 450 MM - INCLUSIVE TRANSPORTE</v>
          </cell>
          <cell r="C15" t="str">
            <v>M</v>
          </cell>
          <cell r="D15">
            <v>12.11</v>
          </cell>
        </row>
        <row r="16">
          <cell r="A16" t="str">
            <v>73887/10</v>
          </cell>
          <cell r="B16" t="str">
            <v>ASSENTAMENTO SIMPLES DE TUBOS DE FERRO FUNDIDO (FOFO) C/ JUNTA ELASTICA - DN 500 MM - INCLUSIVE TRANSPORTE</v>
          </cell>
          <cell r="C16" t="str">
            <v>M</v>
          </cell>
          <cell r="D16">
            <v>13.49</v>
          </cell>
        </row>
        <row r="17">
          <cell r="A17" t="str">
            <v>73887/11</v>
          </cell>
          <cell r="B17" t="str">
            <v>ASSENTAMENTO SIMPLES DE TUBOS DE FERRO FUNDIDO (FOFO) C/ JUNTA ELASTICA - DN 600 MM - INCLUSIVE TRANSPORTE</v>
          </cell>
          <cell r="C17" t="str">
            <v>M</v>
          </cell>
          <cell r="D17">
            <v>16.3</v>
          </cell>
        </row>
        <row r="18">
          <cell r="A18" t="str">
            <v>73887/12</v>
          </cell>
          <cell r="B18" t="str">
            <v>ASSENTAMENTO SIMPLES DE TUBOS DE FERRO FUNDIDO (FOFO) C/ JUNTA ELASTICA - DN 700 MM - INCLUSIVE TRANSPORTE</v>
          </cell>
          <cell r="C18" t="str">
            <v>M</v>
          </cell>
          <cell r="D18">
            <v>20.27</v>
          </cell>
        </row>
        <row r="19">
          <cell r="A19" t="str">
            <v>73887/13</v>
          </cell>
          <cell r="B19" t="str">
            <v>ASSENTAMENTO SIMPLES DE TUBOS DE FERRO FUNDIDO (FOFO) C/ JUNTA ELASTICA - DN 800 MM - INCLUSIVE TRANSPORTES</v>
          </cell>
          <cell r="C19" t="str">
            <v>M</v>
          </cell>
          <cell r="D19">
            <v>23.39</v>
          </cell>
        </row>
        <row r="20">
          <cell r="A20" t="str">
            <v>73887/14</v>
          </cell>
          <cell r="B20" t="str">
            <v>ASSENTAMENTO SIMPLES DE TUBOS DE FERRO FUNDIDO (FOFO) C/ JUNTA ELASTICA - DN 900 MM - INCLUSIVE TRANSPORTE</v>
          </cell>
          <cell r="C20" t="str">
            <v>M</v>
          </cell>
          <cell r="D20">
            <v>27.5</v>
          </cell>
        </row>
        <row r="21">
          <cell r="A21" t="str">
            <v>73887/15</v>
          </cell>
          <cell r="B21" t="str">
            <v>ASSENTAMENTO SIMPLES DE TUBOS DE FERRO FUNDIDO (FOFO) C/ JUNTA ELASTICA - DN 1000 MM - INCLUSIVE TRANSPORTE</v>
          </cell>
          <cell r="C21" t="str">
            <v>M</v>
          </cell>
          <cell r="D21">
            <v>29.51</v>
          </cell>
        </row>
        <row r="22">
          <cell r="A22" t="str">
            <v>73887/16</v>
          </cell>
          <cell r="B22" t="str">
            <v>ASSENTAMENTO SIMPLES DE TUBOS DE FERRO FUNDIDO (FOFO) C/ JUNTA ELASTICA - DN 1100 MM - INCLUSIVE TRANSPORTE</v>
          </cell>
          <cell r="C22" t="str">
            <v>M</v>
          </cell>
          <cell r="D22">
            <v>34.950000000000003</v>
          </cell>
        </row>
        <row r="23">
          <cell r="A23" t="str">
            <v>73887/17</v>
          </cell>
          <cell r="B23" t="str">
            <v>ASSENTAMENTO SIMPLES DE TUBOS DE FERRO FUNDIDO (FOFO) C/ JUNTA ELASTICA - DN 1200 MM - INCLUSIVE TRANSPORTE</v>
          </cell>
          <cell r="C23" t="str">
            <v>M</v>
          </cell>
          <cell r="D23">
            <v>41.34</v>
          </cell>
        </row>
        <row r="24">
          <cell r="A24" t="str">
            <v>74213/1</v>
          </cell>
          <cell r="B24" t="str">
            <v>MODULO TIPO: REDE DE AGUA, COM FORNECIMENTO E ASSENTAMENTO DE TUBO FºFº DN 200 MM-K7, COMPREENDENDO: LOCACAO, CADASTRAMENTO DE INTERFERENCIAS, ESCAVACAO E REATERRO COMPACTADO DE VALA, EXCETO ROCHA, ATE 1,50 M. INCLUSIVE TOPOGRAFO. ATENÇÃO: VIDE DESCRIÇÃO</v>
          </cell>
          <cell r="C24" t="str">
            <v>M</v>
          </cell>
          <cell r="D24">
            <v>15.91</v>
          </cell>
        </row>
        <row r="25">
          <cell r="A25">
            <v>83655</v>
          </cell>
          <cell r="B25" t="str">
            <v>ASSENTAMENTO SIMPLES DE TUBOS DE FERRO FUNDIDO (FOFO), COM JUNTA ELASTICA, DN 50 MM.</v>
          </cell>
          <cell r="C25" t="str">
            <v>M</v>
          </cell>
          <cell r="D25">
            <v>2</v>
          </cell>
        </row>
        <row r="26">
          <cell r="A26" t="str">
            <v>73840/1</v>
          </cell>
          <cell r="B26" t="str">
            <v>ASSENTAMENTO TUBO PVC COM JUNTA ELASTICA, DN 100 MM - (OU RPVC, OU PRFV) - PARA ESGOTO.</v>
          </cell>
          <cell r="C26" t="str">
            <v>M</v>
          </cell>
          <cell r="D26">
            <v>2.41</v>
          </cell>
        </row>
        <row r="27">
          <cell r="A27" t="str">
            <v>73840/2</v>
          </cell>
          <cell r="B27" t="str">
            <v>ASSENTAMENTO TUBO PVC COM JUNTA ELASTICA, DN 125 MM - (OU RPVC, OU PRFV) - PARA ESGOTO.</v>
          </cell>
          <cell r="C27" t="str">
            <v>M</v>
          </cell>
          <cell r="D27">
            <v>2.58</v>
          </cell>
        </row>
        <row r="28">
          <cell r="A28" t="str">
            <v>73840/3</v>
          </cell>
          <cell r="B28" t="str">
            <v>ASSENTAMENTO TUBO PVC COM JUNTA ELASTICA, DN 150 MM - (OU RPVC, OU PRFV) - PARA ESGOTO.</v>
          </cell>
          <cell r="C28" t="str">
            <v>M</v>
          </cell>
          <cell r="D28">
            <v>2.75</v>
          </cell>
        </row>
        <row r="29">
          <cell r="A29" t="str">
            <v>73840/4</v>
          </cell>
          <cell r="B29" t="str">
            <v>ASSENTAMENTO TUBO PVC COM JUNTA ELASTICA, DN 200 MM - (OU RPVC, OU PRFV) - PARA ESGOTO.</v>
          </cell>
          <cell r="C29" t="str">
            <v>M</v>
          </cell>
          <cell r="D29">
            <v>3.1</v>
          </cell>
        </row>
        <row r="30">
          <cell r="A30" t="str">
            <v>73840/5</v>
          </cell>
          <cell r="B30" t="str">
            <v>ASSENTAMENTO TUBO PVC COM JUNTA ELASTICA, DN 250 MM - (OU RPVC, OU PRFV) - PARA ESGOTO.</v>
          </cell>
          <cell r="C30" t="str">
            <v>M</v>
          </cell>
          <cell r="D30">
            <v>3.44</v>
          </cell>
        </row>
        <row r="31">
          <cell r="A31" t="str">
            <v>73840/6</v>
          </cell>
          <cell r="B31" t="str">
            <v>ASSENTAMENTO TUBO PVC COM JUNTA ELASTICA, DN 300 MM - (OU RPVC, OU PRFV) - PARA ESGOTO.</v>
          </cell>
          <cell r="C31" t="str">
            <v>M</v>
          </cell>
          <cell r="D31">
            <v>3.79</v>
          </cell>
        </row>
        <row r="32">
          <cell r="A32" t="str">
            <v>73888/1</v>
          </cell>
          <cell r="B32" t="str">
            <v>ASSENTAMENTO TUBO PVC COM JUNTA ELASTICA, DN 50 MM - (OU RPVC, OU PVC DEFOFO, OU PRFV) - PARA AGUA.</v>
          </cell>
          <cell r="C32" t="str">
            <v>M</v>
          </cell>
          <cell r="D32">
            <v>1.03</v>
          </cell>
        </row>
        <row r="33">
          <cell r="A33" t="str">
            <v>73888/2</v>
          </cell>
          <cell r="B33" t="str">
            <v>ASSENTAMENTO TUBO PVC COM JUNTA ELASTICA, DN 75 MM - (OU RPVC, OU PVC DEFOFO, OU PRFV) - PARA AGUA.</v>
          </cell>
          <cell r="C33" t="str">
            <v>M</v>
          </cell>
          <cell r="D33">
            <v>1.37</v>
          </cell>
        </row>
        <row r="34">
          <cell r="A34" t="str">
            <v>73888/3</v>
          </cell>
          <cell r="B34" t="str">
            <v>ASSENTAMENTO TUBO PVC COM JUNTA ELASTICA, DN 100 MM - (OU RPVC, OU PVC DEFOFO, OU PRFV) - PARA AGUA.</v>
          </cell>
          <cell r="C34" t="str">
            <v>M</v>
          </cell>
          <cell r="D34">
            <v>1.72</v>
          </cell>
        </row>
        <row r="35">
          <cell r="A35" t="str">
            <v>73888/4</v>
          </cell>
          <cell r="B35" t="str">
            <v>ASSENTAMENTO TUBO PVC COM JUNTA ELASTICA, DN 150 MM - (OU RPVC, OU PVC DEFOFO, OU PRFV P/ AGUA)</v>
          </cell>
          <cell r="C35" t="str">
            <v>M</v>
          </cell>
          <cell r="D35">
            <v>2.06</v>
          </cell>
        </row>
        <row r="36">
          <cell r="A36" t="str">
            <v>73888/5</v>
          </cell>
          <cell r="B36" t="str">
            <v>ASSENTAMENTO TUBO PVC COM JUNTA ELASTICA, DN 200 MM - (OU RPVC, OU PVC DEFOFO, OU PRFV P/ AGUA)</v>
          </cell>
          <cell r="C36" t="str">
            <v>M</v>
          </cell>
          <cell r="D36">
            <v>2.41</v>
          </cell>
        </row>
        <row r="37">
          <cell r="A37" t="str">
            <v>73888/6</v>
          </cell>
          <cell r="B37" t="str">
            <v>ASSENTAMENTO TUBO PVC COM JUNTA ELASTICA, DN 250 MM - (OU RPVC, OU PVC DEFOFO, OU PRFV P/ AGUA)</v>
          </cell>
          <cell r="C37" t="str">
            <v>M</v>
          </cell>
          <cell r="D37">
            <v>2.75</v>
          </cell>
        </row>
        <row r="38">
          <cell r="A38" t="str">
            <v>73888/7</v>
          </cell>
          <cell r="B38" t="str">
            <v>ASSENTAMENTO TUBO PVC COM JUNTA ELASTICA, DN 300 MM - (OU RPVC, OU PVC DEFOFO, OU PRFV P/ AGUA)</v>
          </cell>
          <cell r="C38" t="str">
            <v>M</v>
          </cell>
          <cell r="D38">
            <v>3.44</v>
          </cell>
        </row>
        <row r="39">
          <cell r="A39" t="str">
            <v>73888/8</v>
          </cell>
          <cell r="B39" t="str">
            <v>ASSENTAMENTO TUBO PVC COM JUNTA ELASTICA, DN 350 MM - (OU RPVC, OU PVC DEFOFO, OU PRFV) PARA AGUA</v>
          </cell>
          <cell r="C39" t="str">
            <v>M</v>
          </cell>
          <cell r="D39">
            <v>3.79</v>
          </cell>
        </row>
        <row r="40">
          <cell r="A40" t="str">
            <v>73888/9</v>
          </cell>
          <cell r="B40" t="str">
            <v>ASSENTAMENTO TUBO PVC COM JUNTA ELASTICA, DN 400 MM - (OU RPVC, OU PVC DEFOFO, OU PRFV) - PARA AGUA.</v>
          </cell>
          <cell r="C40" t="str">
            <v>M</v>
          </cell>
          <cell r="D40">
            <v>5.36</v>
          </cell>
        </row>
        <row r="41">
          <cell r="A41" t="str">
            <v>73888/10</v>
          </cell>
          <cell r="B41" t="str">
            <v>ASSENTAMENTO TUBO PVC COM JUNTA ELASTICA, DN 500 MM - (OU RPVC, OU PVC DEFOFO, OU PRFV) - PARA AGUA.</v>
          </cell>
          <cell r="C41" t="str">
            <v>M</v>
          </cell>
          <cell r="D41">
            <v>5.93</v>
          </cell>
        </row>
        <row r="42">
          <cell r="A42" t="str">
            <v>73888/11</v>
          </cell>
          <cell r="B42" t="str">
            <v>ASSENTAMENTO TUBO PVC COM JUNTA ELASTICA, DN 600 MM - (OU RPVC, OU PVC DEFOFO, OU PRFV) - PARA AGUA.</v>
          </cell>
          <cell r="C42" t="str">
            <v>M</v>
          </cell>
          <cell r="D42">
            <v>6.68</v>
          </cell>
        </row>
        <row r="43">
          <cell r="A43" t="str">
            <v>73888/12</v>
          </cell>
          <cell r="B43" t="str">
            <v>ASSENTAMENTO TUBO PVC COM JUNTA ELASTICA, DN 700 MM - (OU RPVC, OU PVC DEFOFO, OU PRFV) - PARA AGUA.</v>
          </cell>
          <cell r="C43" t="str">
            <v>M</v>
          </cell>
          <cell r="D43">
            <v>7.29</v>
          </cell>
        </row>
        <row r="44">
          <cell r="A44" t="str">
            <v>73888/13</v>
          </cell>
          <cell r="B44" t="str">
            <v>ASSENTAMENTO TUBO PVC COM JUNTA ELASTICA, DN 800 MM - (OU RPVC, OU PVC DEFOFO, OU PRFV) - PARA AGUA.</v>
          </cell>
          <cell r="C44" t="str">
            <v>M</v>
          </cell>
          <cell r="D44">
            <v>8</v>
          </cell>
        </row>
        <row r="45">
          <cell r="A45" t="str">
            <v>73888/14</v>
          </cell>
          <cell r="B45" t="str">
            <v>ASSENTAMENTO TUBO PVC COM JUNTA ELASTICA, DN 900 MM - (OU RPVC, OU PVC DEFOFO, OU PRFV) - PARA AGUA.</v>
          </cell>
          <cell r="C45" t="str">
            <v>M</v>
          </cell>
          <cell r="D45">
            <v>8.66</v>
          </cell>
        </row>
        <row r="46">
          <cell r="A46" t="str">
            <v>73888/15</v>
          </cell>
          <cell r="B46" t="str">
            <v>ASSENTAMENTO TUBO PVC COM JUNTA ELASTICA, DN 1000 MM - (OU RPVC, OU PVC DEFOFO, OU PRFV) - PARA AGUA.</v>
          </cell>
          <cell r="C46" t="str">
            <v>M</v>
          </cell>
          <cell r="D46">
            <v>9.2200000000000006</v>
          </cell>
        </row>
        <row r="47">
          <cell r="A47">
            <v>83652</v>
          </cell>
          <cell r="B47" t="str">
            <v>TUBO PVC PARA ESGOTO, EB 644, D = 200 MM, COM JUNTA ELASTICA</v>
          </cell>
          <cell r="C47" t="str">
            <v>M</v>
          </cell>
          <cell r="D47">
            <v>60.09</v>
          </cell>
        </row>
        <row r="48">
          <cell r="A48" t="str">
            <v>75028/1</v>
          </cell>
          <cell r="B48" t="str">
            <v>TUBO CERAMICO 75MM REJUNTADO COM ARGAMASSA DE CIMENTO E AREIA TRACO 1:3 - FORNECIMENTO E INSTALACAO</v>
          </cell>
          <cell r="C48" t="str">
            <v>M</v>
          </cell>
          <cell r="D48">
            <v>18.309999999999999</v>
          </cell>
        </row>
        <row r="49">
          <cell r="A49" t="str">
            <v>75028/2</v>
          </cell>
          <cell r="B49" t="str">
            <v>TUBO CERÂMICO 100MM REJUNTADO COM ARGAMASSA DE CIMENTO E AREIA TRACO 1:3 - FORNECIMENTO E INSTALACAO</v>
          </cell>
          <cell r="C49" t="str">
            <v>M</v>
          </cell>
          <cell r="D49">
            <v>18.7</v>
          </cell>
        </row>
        <row r="50">
          <cell r="A50" t="str">
            <v>75028/3</v>
          </cell>
          <cell r="B50" t="str">
            <v>TUBO CERÂMICO 150MM REJUNTADO COM ARGAMASSA DE CIMENTO E AREIA TRACO 1:3 - FORNECIMENTO E INSTALACAO</v>
          </cell>
          <cell r="C50" t="str">
            <v>M</v>
          </cell>
          <cell r="D50">
            <v>23.96</v>
          </cell>
        </row>
        <row r="51">
          <cell r="A51" t="str">
            <v>75028/4</v>
          </cell>
          <cell r="B51" t="str">
            <v>TUBO CERÂMICO 200MM REJUNTADO COM ARGAMASSA DE CIMENTO E AREIA TRACO 1:3 - FORNECIMENTO E INSTALACAO</v>
          </cell>
          <cell r="C51" t="str">
            <v>M</v>
          </cell>
          <cell r="D51">
            <v>36.67</v>
          </cell>
        </row>
        <row r="52">
          <cell r="A52" t="str">
            <v>75028/5</v>
          </cell>
          <cell r="B52" t="str">
            <v>TUBO CERAMICO 250MM REJUNTADO COM ARGAMASSA DE CIMENTO E AREIA TRACO 1:3 - FORNECIMENTO E INSTALACAO</v>
          </cell>
          <cell r="C52" t="str">
            <v>M</v>
          </cell>
          <cell r="D52">
            <v>59.37</v>
          </cell>
        </row>
        <row r="53">
          <cell r="A53" t="str">
            <v>75028/6</v>
          </cell>
          <cell r="B53" t="str">
            <v>TUBO CERAMICO 300MM REJUNTADO COM ARGAMASSA DE CIMENTO E AREIA TRACO 1:3 - FORNECIMENTO E INSTALACAO</v>
          </cell>
          <cell r="C53" t="str">
            <v>M</v>
          </cell>
          <cell r="D53">
            <v>87.15</v>
          </cell>
        </row>
        <row r="54">
          <cell r="A54">
            <v>73684</v>
          </cell>
          <cell r="B54" t="str">
            <v>ASSENTAMENTO DE TUBOS CERÂMICOS DIAMETRO 150MM, COM JUNTA ASFÁLTICA</v>
          </cell>
          <cell r="C54" t="str">
            <v>M</v>
          </cell>
          <cell r="D54">
            <v>18.14</v>
          </cell>
        </row>
        <row r="55">
          <cell r="A55" t="str">
            <v>73811/1</v>
          </cell>
          <cell r="B55" t="str">
            <v>ASSENTAMENTO SIMPLES DE TUBOS DE CERÂMICA COM JUNTA ASFÁLTICA - DN 100 MM</v>
          </cell>
          <cell r="C55" t="str">
            <v>M</v>
          </cell>
          <cell r="D55">
            <v>8.5299999999999994</v>
          </cell>
        </row>
        <row r="56">
          <cell r="A56" t="str">
            <v>73811/2</v>
          </cell>
          <cell r="B56" t="str">
            <v>ASSENTAMENTO SIMPLES DE TUBOS DE CERÂMICA COM JUNTA ASFÁLTICA - DN 200 MM</v>
          </cell>
          <cell r="C56" t="str">
            <v>M</v>
          </cell>
          <cell r="D56">
            <v>12.95</v>
          </cell>
        </row>
        <row r="57">
          <cell r="A57" t="str">
            <v>73811/3</v>
          </cell>
          <cell r="B57" t="str">
            <v>ASSENTAMENTO SIMPLES DE TUBOS DE CERÂMICA COM JUNTA ASFÁLTICA - DN 250 MM</v>
          </cell>
          <cell r="C57" t="str">
            <v>M</v>
          </cell>
          <cell r="D57">
            <v>15.64</v>
          </cell>
        </row>
        <row r="58">
          <cell r="A58" t="str">
            <v>73811/4</v>
          </cell>
          <cell r="B58" t="str">
            <v>ASSENTAMENTO SIMPLES DE TUBOS DE CERÂMICA COM JUNTA ASFÁLTICA - DN 300 MM</v>
          </cell>
          <cell r="C58" t="str">
            <v>M</v>
          </cell>
          <cell r="D58">
            <v>18.010000000000002</v>
          </cell>
        </row>
        <row r="59">
          <cell r="A59" t="str">
            <v>73811/5</v>
          </cell>
          <cell r="B59" t="str">
            <v>ASSENTAMENTO SIMPLES DE TUBOS DE CERÂMICA COM JUNTA ASFÁLTICA - DN 375 MM</v>
          </cell>
          <cell r="C59" t="str">
            <v>M</v>
          </cell>
          <cell r="D59">
            <v>20.73</v>
          </cell>
        </row>
        <row r="60">
          <cell r="A60" t="str">
            <v>73879/1</v>
          </cell>
          <cell r="B60" t="str">
            <v>ASSENTAMENTO DE TUBOS DE CONCRETO COM JUNTA ELÁSTICA - DN 300 MM</v>
          </cell>
          <cell r="C60" t="str">
            <v>M</v>
          </cell>
          <cell r="D60">
            <v>16.510000000000002</v>
          </cell>
        </row>
        <row r="61">
          <cell r="A61" t="str">
            <v>73879/2</v>
          </cell>
          <cell r="B61" t="str">
            <v>ASSENTAMENTO DE TUBO DE CONCRETO DIAMETRO 400 MM, JUNTAS COM ANEL DE BORRACHA, MONTAGEM COM AUXÍLIO DE EQUIPAMENTOS</v>
          </cell>
          <cell r="C61" t="str">
            <v>M</v>
          </cell>
          <cell r="D61">
            <v>25.5</v>
          </cell>
        </row>
        <row r="62">
          <cell r="A62" t="str">
            <v>73879/3</v>
          </cell>
          <cell r="B62" t="str">
            <v>ASSENTAMENTO DE TUBO DE CONCRETO DIAMETRO 500 MM, JUNTAS COM ANEL DE BORRACHA, MONTAGEM COM AUXÍLIO DE EQUIPAMENTOS</v>
          </cell>
          <cell r="C62" t="str">
            <v>M</v>
          </cell>
          <cell r="D62">
            <v>38.72</v>
          </cell>
        </row>
        <row r="63">
          <cell r="A63" t="str">
            <v>73879/4</v>
          </cell>
          <cell r="B63" t="str">
            <v>ASSENTAMENTO DE TUBO DE CONCRETO DIAMETRO 600 MM, JUNTAS COM ANEL DE BORRACHA, MONTAGEM COM AUXÍLIO DE EQUIPAMENTOS</v>
          </cell>
          <cell r="C63" t="str">
            <v>M</v>
          </cell>
          <cell r="D63">
            <v>50.05</v>
          </cell>
        </row>
        <row r="64">
          <cell r="A64" t="str">
            <v>73879/5</v>
          </cell>
          <cell r="B64" t="str">
            <v>ASSENTAMENTO DE TUBO DE CONCRETO DIAMETRO 700 MM, JUNTAS COM ANEL DE BORRACHA, MONTAGEM COM AUXÍLIO DE EQUIPAMENTOS</v>
          </cell>
          <cell r="C64" t="str">
            <v>M</v>
          </cell>
          <cell r="D64">
            <v>72.97</v>
          </cell>
        </row>
        <row r="65">
          <cell r="A65" t="str">
            <v>73879/6</v>
          </cell>
          <cell r="B65" t="str">
            <v>ASSENTAMENTO DE TUBO DE CONCRETO DIAMETRO 800 MM, JUNTAS COM ANEL DE BORRACHA, MONTAGEM COM AUXÍLIO DE EQUIPAMENTOS</v>
          </cell>
          <cell r="C65" t="str">
            <v>M</v>
          </cell>
          <cell r="D65">
            <v>80.989999999999995</v>
          </cell>
        </row>
        <row r="66">
          <cell r="A66" t="str">
            <v>73879/7</v>
          </cell>
          <cell r="B66" t="str">
            <v>ASSENTAMENTO DE TUBO DE CONCRETO DIAMETRO 900 MM, JUNTAS COM ANEL DE BORRACHA, MONTAGEM COM AUXÍLIO DE EQUIPAMENTOS</v>
          </cell>
          <cell r="C66" t="str">
            <v>M</v>
          </cell>
          <cell r="D66">
            <v>115.84</v>
          </cell>
        </row>
        <row r="67">
          <cell r="A67" t="str">
            <v>73879/8</v>
          </cell>
          <cell r="B67" t="str">
            <v>ASSENTAMENTO DE TUBO DE CONCRETO DIAMETRO 1000MM, JUNTAS COM ANEL DE BORRACHA, MONTAGEM COM AUXÍLIO DE EQUIPAMENTOS</v>
          </cell>
          <cell r="C67" t="str">
            <v>M</v>
          </cell>
          <cell r="D67">
            <v>126.56</v>
          </cell>
        </row>
        <row r="68">
          <cell r="A68" t="str">
            <v>73879/9</v>
          </cell>
          <cell r="B68" t="str">
            <v>ASSENTAMENTO DE TUBO DE CONCRETO DIAMETRO 1200 MM, JUNTAS COM ANEL DE BORRACHA, MONTAGEM COM AUXÍLIO DE EQUIPAMENTOS</v>
          </cell>
          <cell r="C68" t="str">
            <v>M</v>
          </cell>
          <cell r="D68">
            <v>170.01</v>
          </cell>
        </row>
        <row r="69">
          <cell r="A69">
            <v>73718</v>
          </cell>
          <cell r="B69" t="str">
            <v>ASSENTAMENTO DE TUBOS DE CONCRETO DIAMETRO = 1500MM, SIMPLES OU ARMADO, JUNTA EM ARGAMASSA 1:3 CIMENTO:AREIA</v>
          </cell>
          <cell r="C69" t="str">
            <v>M</v>
          </cell>
          <cell r="D69">
            <v>195.94</v>
          </cell>
        </row>
        <row r="70">
          <cell r="A70">
            <v>73719</v>
          </cell>
          <cell r="B70" t="str">
            <v>ASSENTAMENTO DE TUBOS DE CONCRETO DIAMETRO = 1200MM, SIMPLES OU ARMADO, JUNTA EM ARGAMASSA 1:3 CIMENTO:AREIA</v>
          </cell>
          <cell r="C70" t="str">
            <v>M</v>
          </cell>
          <cell r="D70">
            <v>125.47</v>
          </cell>
        </row>
        <row r="71">
          <cell r="A71">
            <v>73720</v>
          </cell>
          <cell r="B71" t="str">
            <v>ASSENTAMENTO DE TUBOS DE CONCRETO DIAMETRO = 800MM, SIMPLES OU ARMADO, JUNTA EM ARGAMASSA 1:3 CIMENTO:AREIA</v>
          </cell>
          <cell r="C71" t="str">
            <v>M</v>
          </cell>
          <cell r="D71">
            <v>67.349999999999994</v>
          </cell>
        </row>
        <row r="72">
          <cell r="A72">
            <v>73721</v>
          </cell>
          <cell r="B72" t="str">
            <v>ASSENTAMENTO DE TUBOS DE CONCRETO DIAMETRO = 1000MM, SIMPLES OU ARMADO, JUNTA EM ARGAMASSA 1:3 CIMENTO:AREIA</v>
          </cell>
          <cell r="C72" t="str">
            <v>M</v>
          </cell>
          <cell r="D72">
            <v>100.91</v>
          </cell>
        </row>
        <row r="73">
          <cell r="A73">
            <v>73722</v>
          </cell>
          <cell r="B73" t="str">
            <v>ASSENTAMENTO DE TUBOS DE CONCRETO DIAMETRO = 600MM, SIMPLES OU ARMADO, JUNTA EM ARGAMASSA 1:3 CIMENTO:AREIA</v>
          </cell>
          <cell r="C73" t="str">
            <v>M</v>
          </cell>
          <cell r="D73">
            <v>32.49</v>
          </cell>
        </row>
        <row r="74">
          <cell r="A74">
            <v>73723</v>
          </cell>
          <cell r="B74" t="str">
            <v>ASSENTAMENTO DE TUBOS DE CONCRETO DIAMETRO = 500MM, SIMPLES OU ARMADO, JUNTA EM ARGAMASSA 1:3 CIMENTO:AREIA</v>
          </cell>
          <cell r="C74" t="str">
            <v>M</v>
          </cell>
          <cell r="D74">
            <v>25.33</v>
          </cell>
        </row>
        <row r="75">
          <cell r="A75">
            <v>73724</v>
          </cell>
          <cell r="B75" t="str">
            <v>ASSENTAMENTO DE TUBOS DE CONCRETO DIAMETRO = 400MM, SIMPLES OU ARMADO, JUNTA EM ARGAMASSA 1:3 CIMENTO:AREIA</v>
          </cell>
          <cell r="C75" t="str">
            <v>M</v>
          </cell>
          <cell r="D75">
            <v>16.7</v>
          </cell>
        </row>
        <row r="76">
          <cell r="A76">
            <v>73730</v>
          </cell>
          <cell r="B76" t="str">
            <v>ASSENTAMENTO DE TUBOS DE CONCRETO DIAMETRO = 300MM, SIMPLES OU ARMADO, JUNTA EM ARGAMASSA 1:3 CIMENTO:AREIA</v>
          </cell>
          <cell r="C76" t="str">
            <v>M</v>
          </cell>
          <cell r="D76">
            <v>11.74</v>
          </cell>
        </row>
        <row r="77">
          <cell r="A77">
            <v>73606</v>
          </cell>
          <cell r="B77" t="str">
            <v>ASSENTAMENTO DE TAMPAO DE FERRO FUNDIDO 900 MM</v>
          </cell>
          <cell r="C77" t="str">
            <v>UN</v>
          </cell>
          <cell r="D77">
            <v>73.45</v>
          </cell>
        </row>
        <row r="78">
          <cell r="A78">
            <v>73607</v>
          </cell>
          <cell r="B78" t="str">
            <v>ASSENTAMENTO DE TAMPAO DE FERRO FUNDIDO 600 MM</v>
          </cell>
          <cell r="C78" t="str">
            <v>UN</v>
          </cell>
          <cell r="D78">
            <v>48.97</v>
          </cell>
        </row>
        <row r="79">
          <cell r="A79">
            <v>83622</v>
          </cell>
          <cell r="B79" t="str">
            <v>GRELHA DE FERRO FUNDIDO PARA CANALETA LARG = 40CM, FORNECIMENTO E ASSENTAMENTO</v>
          </cell>
          <cell r="C79" t="str">
            <v>M</v>
          </cell>
          <cell r="D79">
            <v>178.7</v>
          </cell>
        </row>
        <row r="80">
          <cell r="A80">
            <v>83623</v>
          </cell>
          <cell r="B80" t="str">
            <v>GRELHA DE FERRO FUNDIDO PARA CANALETA LARG = 30CM, FORNECIMENTO E ASSENTAMENTO</v>
          </cell>
          <cell r="C80" t="str">
            <v>M</v>
          </cell>
          <cell r="D80">
            <v>131.46</v>
          </cell>
        </row>
        <row r="81">
          <cell r="A81">
            <v>83624</v>
          </cell>
          <cell r="B81" t="str">
            <v>GRELHA DE FERRO FUNDIDO PARA CANALETA LARG = 20CM, FORNECIMENTO E ASSENTAMENTO</v>
          </cell>
          <cell r="C81" t="str">
            <v>M</v>
          </cell>
          <cell r="D81">
            <v>66.459999999999994</v>
          </cell>
        </row>
        <row r="82">
          <cell r="A82">
            <v>83626</v>
          </cell>
          <cell r="B82" t="str">
            <v>GRELHA DE FERRO FUNDIDO PARA CANALETA LARG = 15CM, FORNECIMENTO E ASSENTAMENTO</v>
          </cell>
          <cell r="C82" t="str">
            <v>M</v>
          </cell>
          <cell r="D82">
            <v>51.29</v>
          </cell>
        </row>
        <row r="83">
          <cell r="A83">
            <v>83627</v>
          </cell>
          <cell r="B83" t="str">
            <v>TAMPAO DE FERRO FUNDIDO, D = 60CM, 175KG, P = CHAMINE CX AREIA/POCO VISITA ASSENTADO COM ARG CIM/AREIA 1:4, FORNECIMENTO E ASSENTAMENTO</v>
          </cell>
          <cell r="C83" t="str">
            <v>UN</v>
          </cell>
          <cell r="D83">
            <v>518.66999999999996</v>
          </cell>
        </row>
        <row r="84">
          <cell r="A84">
            <v>83724</v>
          </cell>
          <cell r="B84" t="str">
            <v>ASSENTAMENTO DE PECAS, CONEXOES, APARELHOS E ACESSORIOS DE FERRO FUNDIDO DUCTIL, JUNTA ELASTICA, MECANICA OU FLANGEADA, COM DIAMETROS DE 50 A 300 MM.</v>
          </cell>
          <cell r="C84" t="str">
            <v>KG</v>
          </cell>
          <cell r="D84">
            <v>1.03</v>
          </cell>
        </row>
        <row r="85">
          <cell r="A85">
            <v>83725</v>
          </cell>
          <cell r="B85" t="str">
            <v>ASSENTAMENTO DE PECAS, CONEXOES, APARELHOS E ACESSORIOS DE FERRO FUNDIDO DUCTIL, JUNTA ELASTICA, MECANICA OU FLANGEADA, COM DIAMETROS DE 350 A 600 MM.</v>
          </cell>
          <cell r="C85" t="str">
            <v>KG</v>
          </cell>
          <cell r="D85">
            <v>0.79</v>
          </cell>
        </row>
        <row r="86">
          <cell r="A86">
            <v>83726</v>
          </cell>
          <cell r="B86" t="str">
            <v>ASSENTAMENTO DE PECAS, CONEXOES, APARELHOS E ACESSORIOS DE FERRO FUNDIDO DUCTIL, JUNTA ELASTICA, MECANICA OU FLANGEADA, COM DIAMETROS DE 700 A 1200 MM.</v>
          </cell>
          <cell r="C86" t="str">
            <v>KG</v>
          </cell>
          <cell r="D86">
            <v>0.53</v>
          </cell>
        </row>
        <row r="87">
          <cell r="A87">
            <v>83536</v>
          </cell>
          <cell r="B87" t="str">
            <v>FORNECIMENTO E ASSENTAMENTO DE TUBO CERAMICO DN 375 MM, JUNTA ELASTICA.</v>
          </cell>
          <cell r="C87" t="str">
            <v>M</v>
          </cell>
          <cell r="D87">
            <v>167.3</v>
          </cell>
        </row>
        <row r="88">
          <cell r="A88">
            <v>83537</v>
          </cell>
          <cell r="B88" t="str">
            <v>FORNECIMENTO E ASSENTAMENTO DE TUBO CERAMICO DN 300 MM, JUNTA ELASTICA.</v>
          </cell>
          <cell r="C88" t="str">
            <v>M</v>
          </cell>
          <cell r="D88">
            <v>117.88</v>
          </cell>
        </row>
        <row r="89">
          <cell r="A89">
            <v>83538</v>
          </cell>
          <cell r="B89" t="str">
            <v>FORNECIMENTO E ASSENTAMENTO DE TUBO CERAMICO DN 250 MM, JUNTA ELASTICA.</v>
          </cell>
          <cell r="C89" t="str">
            <v>M</v>
          </cell>
          <cell r="D89">
            <v>84.08</v>
          </cell>
        </row>
        <row r="90">
          <cell r="A90">
            <v>83539</v>
          </cell>
          <cell r="B90" t="str">
            <v>FORNECIMENTO E ASSENTAMENTO DE TUBO CERAMICO DN 200, JUNTA ELASTICA.</v>
          </cell>
          <cell r="C90" t="str">
            <v>M</v>
          </cell>
          <cell r="D90">
            <v>56.16</v>
          </cell>
        </row>
        <row r="91">
          <cell r="A91">
            <v>83619</v>
          </cell>
          <cell r="B91" t="str">
            <v>FORNECIMENTO E ASSENTAMENTO DE TUBO CERAMICO DN 150, COM JUNTA ELASTICA.</v>
          </cell>
          <cell r="C91" t="str">
            <v>M</v>
          </cell>
          <cell r="D91">
            <v>34.4</v>
          </cell>
        </row>
        <row r="92">
          <cell r="A92">
            <v>83620</v>
          </cell>
          <cell r="B92" t="str">
            <v>FORNECIMENTO E ASSENTAMENTO DE TUBO CERAMICO DN 100 MM, COM JUNTA ELASTICA</v>
          </cell>
          <cell r="C92" t="str">
            <v>M</v>
          </cell>
          <cell r="D92">
            <v>25.04</v>
          </cell>
        </row>
        <row r="93">
          <cell r="A93" t="str">
            <v>74215/1</v>
          </cell>
          <cell r="B93" t="str">
            <v>MODULO TIPO: REDE DE AGUA, COM FORNECIMENTO E ASSENTAMENTO DE TUBO PVC DEFOFO 200MM EB-1208 P/ REDE AGUA JE 1 MPA, COMPREENDENDO: LOCACAO, CADASTRAMENTO DE INTERFERENCIAS, ESCAVACAO E REATERRO COMPACTADO DE VALA, EXCETO ROCHA, ATE 1,50 M, INCLUSIVE TOPÓG</v>
          </cell>
          <cell r="C93" t="str">
            <v>M</v>
          </cell>
          <cell r="D93">
            <v>120.43</v>
          </cell>
        </row>
        <row r="94">
          <cell r="A94" t="str">
            <v>74215/2</v>
          </cell>
          <cell r="B94" t="str">
            <v>MODULO TIPO: REDE DE AGUA, COM FORNECIMENTO E ASSENTAMENTO DE TUBO PVC DEFOFO 150MM EB-1208 P/ REDE AGUA JE 1 MPA, COMPREENDENDO: LOCACAO, CADASTRAMENTO DE INTERFERENCIAS, ESCAVACAO E REATERRO COMPACTADO DE VALA, EXCETO ROCHA, ATE 1,50 M, INCLUSIVE TOPÓG</v>
          </cell>
          <cell r="C94" t="str">
            <v>M</v>
          </cell>
          <cell r="D94">
            <v>72.38</v>
          </cell>
        </row>
        <row r="95">
          <cell r="A95" t="str">
            <v>74215/3</v>
          </cell>
          <cell r="B95" t="str">
            <v>MODULO TIPO: REDE DE AGUA, COM FORNECIMENTO E ASSENTAMENTO DE TUBO PVC DEFOFO 100MM EB-1208 P/ REDE AGUA JE 1 MPA, COMPREENDENDO: LOCACAO, CADASTRAMENTO DE INTERFERENCIAS, ESCAVACAO E REATERRO COMPACTADO DE VALA, EXCETO ROCHA, ATE 1,50 M, INCLUSIVE TOPÓG</v>
          </cell>
          <cell r="C95" t="str">
            <v>M</v>
          </cell>
          <cell r="D95">
            <v>39.619999999999997</v>
          </cell>
        </row>
        <row r="96">
          <cell r="A96">
            <v>83520</v>
          </cell>
          <cell r="B96" t="str">
            <v>TE PVC PARA COLETOR ESGOTO, EB644, D=100MM, COM JUNTA ELASTICA.</v>
          </cell>
          <cell r="C96" t="str">
            <v>UN</v>
          </cell>
          <cell r="D96">
            <v>53.3</v>
          </cell>
        </row>
        <row r="97">
          <cell r="A97">
            <v>83521</v>
          </cell>
          <cell r="B97" t="str">
            <v>TE CERAMICO REDUCAO 300 X 100MM, COM JUNTA ARGAMASSADA.</v>
          </cell>
          <cell r="C97" t="str">
            <v>UN</v>
          </cell>
          <cell r="D97">
            <v>112.41</v>
          </cell>
        </row>
        <row r="98">
          <cell r="A98">
            <v>83522</v>
          </cell>
          <cell r="B98" t="str">
            <v>TE CERAMICO REDUCAO 200 X 100MM, COM JUNTA ARGAMASSADA.</v>
          </cell>
          <cell r="C98" t="str">
            <v>UN</v>
          </cell>
          <cell r="D98">
            <v>54.49</v>
          </cell>
        </row>
        <row r="99">
          <cell r="A99">
            <v>83523</v>
          </cell>
          <cell r="B99" t="str">
            <v>TE CERAMICO REDUCAO 150 X 100MM, COM JUNTA ARGAMASSADA.</v>
          </cell>
          <cell r="C99" t="str">
            <v>UN</v>
          </cell>
          <cell r="D99">
            <v>39.71</v>
          </cell>
        </row>
        <row r="100">
          <cell r="A100">
            <v>83524</v>
          </cell>
          <cell r="B100" t="str">
            <v>TE CERAMICO 90GR 200 X 200MM, COM JUNTA ARGAMASSADA</v>
          </cell>
          <cell r="C100" t="str">
            <v>UN</v>
          </cell>
          <cell r="D100">
            <v>82.55</v>
          </cell>
        </row>
        <row r="101">
          <cell r="A101">
            <v>83527</v>
          </cell>
          <cell r="B101" t="str">
            <v>TE CERAMICO 150 X 150MM, COM JUNTA ARGAMASSADA.</v>
          </cell>
          <cell r="C101" t="str">
            <v>UN</v>
          </cell>
          <cell r="D101">
            <v>45.34</v>
          </cell>
        </row>
        <row r="102">
          <cell r="A102">
            <v>83528</v>
          </cell>
          <cell r="B102" t="str">
            <v>TE CERAMICO 100 X 100MM, COM JUNTA ARGAMASSADA.</v>
          </cell>
          <cell r="C102" t="str">
            <v>UN</v>
          </cell>
          <cell r="D102">
            <v>38.46</v>
          </cell>
        </row>
        <row r="103">
          <cell r="A103">
            <v>83529</v>
          </cell>
          <cell r="B103" t="str">
            <v>JUNCAO REDUCAO CERAMICA 200 X 100MM, COM JUNTA ARGAMASSADA.</v>
          </cell>
          <cell r="C103" t="str">
            <v>UN</v>
          </cell>
          <cell r="D103">
            <v>55.93</v>
          </cell>
        </row>
        <row r="104">
          <cell r="A104">
            <v>83530</v>
          </cell>
          <cell r="B104" t="str">
            <v>JUNCAO CERAMICA 45G ESG BBP DN 150 X 100</v>
          </cell>
          <cell r="C104" t="str">
            <v>UN</v>
          </cell>
          <cell r="D104">
            <v>40.369999999999997</v>
          </cell>
        </row>
        <row r="105">
          <cell r="A105">
            <v>83531</v>
          </cell>
          <cell r="B105" t="str">
            <v>CURVA PARA REDE COLETOR ESGOTO, EB 644, 90GR, DN=200MM, COM JUNTA ELASTICA</v>
          </cell>
          <cell r="C105" t="str">
            <v>UN</v>
          </cell>
          <cell r="D105">
            <v>398.24</v>
          </cell>
        </row>
        <row r="106">
          <cell r="A106">
            <v>83535</v>
          </cell>
          <cell r="B106" t="str">
            <v>CURVA PVC PARA REDE COLETOR ESGOTO, EB-644, 45 GR, 200 MM, COM JUNTA ELASTICA.</v>
          </cell>
          <cell r="C106" t="str">
            <v>UN</v>
          </cell>
          <cell r="D106">
            <v>314.54000000000002</v>
          </cell>
        </row>
        <row r="107">
          <cell r="A107" t="str">
            <v>73884/1</v>
          </cell>
          <cell r="B107" t="str">
            <v>INSTALAÇÃO DE VÁLVULAS OU REGISTROS COM JUNTA FLANGEADA - DN 50</v>
          </cell>
          <cell r="C107" t="str">
            <v>UN</v>
          </cell>
          <cell r="D107">
            <v>36.86</v>
          </cell>
        </row>
        <row r="108">
          <cell r="A108" t="str">
            <v>73884/2</v>
          </cell>
          <cell r="B108" t="str">
            <v>INSTALAÇÃO DE VÁLVULAS OU REGISTROS COM JUNTA FLANGEADA - DN 75</v>
          </cell>
          <cell r="C108" t="str">
            <v>UN</v>
          </cell>
          <cell r="D108">
            <v>55.78</v>
          </cell>
        </row>
        <row r="109">
          <cell r="A109" t="str">
            <v>73884/3</v>
          </cell>
          <cell r="B109" t="str">
            <v>INSTALAÇÃO DE VÁLVULAS OU REGISTROS COM JUNTA FLANGEADA - DN 100</v>
          </cell>
          <cell r="C109" t="str">
            <v>UN</v>
          </cell>
          <cell r="D109">
            <v>69.72</v>
          </cell>
        </row>
        <row r="110">
          <cell r="A110" t="str">
            <v>73884/4</v>
          </cell>
          <cell r="B110" t="str">
            <v>INSTALAÇÃO DE VÁLVULAS OU REGISTROS COM JUNTA FLANGEADA - DN 150</v>
          </cell>
          <cell r="C110" t="str">
            <v>UN</v>
          </cell>
          <cell r="D110">
            <v>351.28</v>
          </cell>
        </row>
        <row r="111">
          <cell r="A111" t="str">
            <v>73884/5</v>
          </cell>
          <cell r="B111" t="str">
            <v>INSTALAÇÃO DE VÁLVULAS OU REGISTROS COM JUNTA FLANGEADA - DN 200</v>
          </cell>
          <cell r="C111" t="str">
            <v>UN</v>
          </cell>
          <cell r="D111">
            <v>409.83</v>
          </cell>
        </row>
        <row r="112">
          <cell r="A112" t="str">
            <v>73884/6</v>
          </cell>
          <cell r="B112" t="str">
            <v>INSTALAÇÃO DE VÁLVULAS OU REGISTROS COM JUNTA FLANGEADA - DN 250</v>
          </cell>
          <cell r="C112" t="str">
            <v>UN</v>
          </cell>
          <cell r="D112">
            <v>497.65</v>
          </cell>
        </row>
        <row r="113">
          <cell r="A113" t="str">
            <v>73884/7</v>
          </cell>
          <cell r="B113" t="str">
            <v>INSTALAÇÃO DE VÁLVULAS OU REGISTROS COM JUNTA FLANGEADA - DN 300</v>
          </cell>
          <cell r="C113" t="str">
            <v>UN</v>
          </cell>
          <cell r="D113">
            <v>556.19000000000005</v>
          </cell>
        </row>
        <row r="114">
          <cell r="A114" t="str">
            <v>73884/8</v>
          </cell>
          <cell r="B114" t="str">
            <v>INSTALAÇÃO DE VÁLVULAS OU REGISTROS COM JUNTA FLANGEADA - DN 350</v>
          </cell>
          <cell r="C114" t="str">
            <v>UN</v>
          </cell>
          <cell r="D114">
            <v>585.47</v>
          </cell>
        </row>
        <row r="115">
          <cell r="A115" t="str">
            <v>73884/9</v>
          </cell>
          <cell r="B115" t="str">
            <v>INSTALAÇÃO DE VÁLVULAS OU REGISTROS COM JUNTA FLANGEADA - DN 400</v>
          </cell>
          <cell r="C115" t="str">
            <v>UN</v>
          </cell>
          <cell r="D115">
            <v>644.01</v>
          </cell>
        </row>
        <row r="116">
          <cell r="A116" t="str">
            <v>73884/10</v>
          </cell>
          <cell r="B116" t="str">
            <v>INSTALAÇÃO DE VÁLVULAS OU REGISTROS COM JUNTA FLANGEADA - DN 450</v>
          </cell>
          <cell r="C116" t="str">
            <v>UN</v>
          </cell>
          <cell r="D116">
            <v>673.29</v>
          </cell>
        </row>
        <row r="117">
          <cell r="A117" t="str">
            <v>73884/11</v>
          </cell>
          <cell r="B117" t="str">
            <v>INSTALAÇÃO DE VÁLVULAS OU REGISTROS COM JUNTA FLANGEADA - DN 500</v>
          </cell>
          <cell r="C117" t="str">
            <v>UN</v>
          </cell>
          <cell r="D117">
            <v>731.84</v>
          </cell>
        </row>
        <row r="118">
          <cell r="A118" t="str">
            <v>73884/12</v>
          </cell>
          <cell r="B118" t="str">
            <v>INSTALAÇÃO DE VÁLVULAS OU REGISTROS COM JUNTA FLANGEADA - DN 600</v>
          </cell>
          <cell r="C118" t="str">
            <v>UN</v>
          </cell>
          <cell r="D118">
            <v>790.38</v>
          </cell>
        </row>
        <row r="119">
          <cell r="A119" t="str">
            <v>73884/13</v>
          </cell>
          <cell r="B119" t="str">
            <v>INSTALAÇÃO DE VÁLVULAS OU REGISTROS COM JUNTA FLANGEADA - DN 700</v>
          </cell>
          <cell r="C119" t="str">
            <v>UN</v>
          </cell>
          <cell r="D119">
            <v>870.97</v>
          </cell>
        </row>
        <row r="120">
          <cell r="A120" t="str">
            <v>73884/14</v>
          </cell>
          <cell r="B120" t="str">
            <v>INSTALAÇÃO DE VÁLVULAS OU REGISTROS COM JUNTA FLANGEADA - DN 800</v>
          </cell>
          <cell r="C120" t="str">
            <v>UN</v>
          </cell>
          <cell r="D120">
            <v>870.97</v>
          </cell>
        </row>
        <row r="121">
          <cell r="A121" t="str">
            <v>73884/15</v>
          </cell>
          <cell r="B121" t="str">
            <v>INSTALAÇÃO DE VÁLVULAS OU REGISTROS COM JUNTA FLANGEADA - DN 900</v>
          </cell>
          <cell r="C121" t="str">
            <v>UN</v>
          </cell>
          <cell r="D121">
            <v>902.08</v>
          </cell>
        </row>
        <row r="122">
          <cell r="A122" t="str">
            <v>73884/16</v>
          </cell>
          <cell r="B122" t="str">
            <v>INSTALAÇÃO DE VÁLVULAS OU REGISTROS COM JUNTA FLANGEADA - DN 1000</v>
          </cell>
          <cell r="C122" t="str">
            <v>UN</v>
          </cell>
          <cell r="D122">
            <v>995.39</v>
          </cell>
        </row>
        <row r="123">
          <cell r="A123" t="str">
            <v>73885/1</v>
          </cell>
          <cell r="B123" t="str">
            <v>INSTALAÇÃO DE VÁLVULAS OU REGISTROS COM JUNTA ELÁSTICA - DN 50</v>
          </cell>
          <cell r="C123" t="str">
            <v>UN</v>
          </cell>
          <cell r="D123">
            <v>17.239999999999998</v>
          </cell>
        </row>
        <row r="124">
          <cell r="A124" t="str">
            <v>73885/2</v>
          </cell>
          <cell r="B124" t="str">
            <v>INSTALAÇÃO DE VÁLVULAS OU REGISTROS COM JUNTA ELÁSTICA - DN 75</v>
          </cell>
          <cell r="C124" t="str">
            <v>UN</v>
          </cell>
          <cell r="D124">
            <v>20.91</v>
          </cell>
        </row>
        <row r="125">
          <cell r="A125" t="str">
            <v>73885/3</v>
          </cell>
          <cell r="B125" t="str">
            <v>INSTALAÇÃO DE VÁLVULAS OU REGISTROS COM JUNTA ELÁSTICA - DN 100</v>
          </cell>
          <cell r="C125" t="str">
            <v>UN</v>
          </cell>
          <cell r="D125">
            <v>23.7</v>
          </cell>
        </row>
        <row r="126">
          <cell r="A126" t="str">
            <v>73885/4</v>
          </cell>
          <cell r="B126" t="str">
            <v>INSTALAÇÃO DE VÁLVULAS OU REGISTROS COM JUNTA ELÁSTICA - DN 150</v>
          </cell>
          <cell r="C126" t="str">
            <v>UN</v>
          </cell>
          <cell r="D126">
            <v>128.80000000000001</v>
          </cell>
        </row>
        <row r="127">
          <cell r="A127" t="str">
            <v>73885/5</v>
          </cell>
          <cell r="B127" t="str">
            <v>INSTALAÇÃO DE VÁLVULAS OU REGISTROS COM JUNTA ELÁSTICA - DN 200</v>
          </cell>
          <cell r="C127" t="str">
            <v>UN</v>
          </cell>
          <cell r="D127">
            <v>166.85</v>
          </cell>
        </row>
        <row r="128">
          <cell r="A128" t="str">
            <v>73885/6</v>
          </cell>
          <cell r="B128" t="str">
            <v>INSTALAÇÃO DE VÁLVULAS OU REGISTROS COM JUNTA ELÁSTICA - DN 250</v>
          </cell>
          <cell r="C128" t="str">
            <v>UN</v>
          </cell>
          <cell r="D128">
            <v>196.13</v>
          </cell>
        </row>
        <row r="129">
          <cell r="A129" t="str">
            <v>73885/7</v>
          </cell>
          <cell r="B129" t="str">
            <v>INSTALAÇÃO DE VÁLVULAS OU REGISTROS COM JUNTA ELÁSTICA - DN 300</v>
          </cell>
          <cell r="C129" t="str">
            <v>UN</v>
          </cell>
          <cell r="D129">
            <v>213.69</v>
          </cell>
        </row>
        <row r="130">
          <cell r="A130" t="str">
            <v>73885/8</v>
          </cell>
          <cell r="B130" t="str">
            <v>INSTALAÇÃO DE VÁLVULAS OU REGISTROS COM JUNTA ELÁSTICA - DN 350</v>
          </cell>
          <cell r="C130" t="str">
            <v>UN</v>
          </cell>
          <cell r="D130">
            <v>234.18</v>
          </cell>
        </row>
        <row r="131">
          <cell r="A131" t="str">
            <v>73885/9</v>
          </cell>
          <cell r="B131" t="str">
            <v>INSTALAÇÃO DE VÁLVULAS OU REGISTROS COM JUNTA ELÁSTICA - DN 400</v>
          </cell>
          <cell r="C131" t="str">
            <v>UN</v>
          </cell>
          <cell r="D131">
            <v>257.60000000000002</v>
          </cell>
        </row>
        <row r="132">
          <cell r="A132" t="str">
            <v>73885/10</v>
          </cell>
          <cell r="B132" t="str">
            <v>INSTALAÇÃO DE VÁLVULAS OU REGISTROS COM JUNTA ELÁSTICA - DN 450</v>
          </cell>
          <cell r="C132" t="str">
            <v>UN</v>
          </cell>
          <cell r="D132">
            <v>278.08999999999997</v>
          </cell>
        </row>
        <row r="133">
          <cell r="A133" t="str">
            <v>73885/11</v>
          </cell>
          <cell r="B133" t="str">
            <v>INSTALAÇÃO DE VÁLVULAS OU REGISTROS COM JUNTA ELÁSTICA - DN 500</v>
          </cell>
          <cell r="C133" t="str">
            <v>UN</v>
          </cell>
          <cell r="D133">
            <v>292.73</v>
          </cell>
        </row>
        <row r="134">
          <cell r="A134" t="str">
            <v>73885/12</v>
          </cell>
          <cell r="B134" t="str">
            <v>INSTALAÇÃO DE VÁLVULAS OU REGISTROS COM JUNTA ELÁSTICA - DN 600</v>
          </cell>
          <cell r="C134" t="str">
            <v>UN</v>
          </cell>
          <cell r="D134">
            <v>333.71</v>
          </cell>
        </row>
        <row r="135">
          <cell r="A135" t="str">
            <v>73839/1</v>
          </cell>
          <cell r="B135" t="str">
            <v>ASSENTAMENTO DE TUBOS DE AÇO, COM JUNTA ELÁSTICA (COMPRIMENTO DE 6,00 M) - DN 150 MM</v>
          </cell>
          <cell r="C135" t="str">
            <v>M</v>
          </cell>
          <cell r="D135">
            <v>4.95</v>
          </cell>
        </row>
        <row r="136">
          <cell r="A136" t="str">
            <v>73839/2</v>
          </cell>
          <cell r="B136" t="str">
            <v>ASSENTAMENTO DE TUBOS DE AÇO, COM JUNTA ELÁSTICA (COMPRIMENTO DE 6,00 M) - DN 200 MM</v>
          </cell>
          <cell r="C136" t="str">
            <v>M</v>
          </cell>
          <cell r="D136">
            <v>6.34</v>
          </cell>
        </row>
        <row r="137">
          <cell r="A137" t="str">
            <v>73839/3</v>
          </cell>
          <cell r="B137" t="str">
            <v>ASSENTAMENTO DE TUBOS DE AÇO, COM JUNTA ELÁSTICA (COMPRIMENTO DE 6,00 M) - DN 250 MM</v>
          </cell>
          <cell r="C137" t="str">
            <v>M</v>
          </cell>
          <cell r="D137">
            <v>7.65</v>
          </cell>
        </row>
        <row r="138">
          <cell r="A138" t="str">
            <v>73839/4</v>
          </cell>
          <cell r="B138" t="str">
            <v>ASSENTAMENTO DE TUBOS DE AÇO, COM JUNTA ELÁSTICA (COMPRIMENTO DE 6,00 M) - DN 300 MM</v>
          </cell>
          <cell r="C138" t="str">
            <v>M</v>
          </cell>
          <cell r="D138">
            <v>8.64</v>
          </cell>
        </row>
        <row r="139">
          <cell r="A139" t="str">
            <v>73839/5</v>
          </cell>
          <cell r="B139" t="str">
            <v>ASSENTAMENTO DE TUBOS DE AÇO, COM JUNTA ELÁSTICA (COMPRIMENTO DE 6,00 M) - DN 350 MM</v>
          </cell>
          <cell r="C139" t="str">
            <v>M</v>
          </cell>
          <cell r="D139">
            <v>10.119999999999999</v>
          </cell>
        </row>
        <row r="140">
          <cell r="A140" t="str">
            <v>73839/6</v>
          </cell>
          <cell r="B140" t="str">
            <v>ASSENTAMENTO DE TUBOS DE AÇO, COM JUNTA ELÁSTICA (COMPRIMENTO DE 6,00 M) - DN 400 MM</v>
          </cell>
          <cell r="C140" t="str">
            <v>M</v>
          </cell>
          <cell r="D140">
            <v>11.59</v>
          </cell>
        </row>
        <row r="141">
          <cell r="A141" t="str">
            <v>73839/7</v>
          </cell>
          <cell r="B141" t="str">
            <v>ASSENTAMENTO DE TUBOS DE AÇO, COM JUNTA ELÁSTICA (COMPRIMENTO DE 6,00 M) - DN 450 MM</v>
          </cell>
          <cell r="C141" t="str">
            <v>M</v>
          </cell>
          <cell r="D141">
            <v>13.01</v>
          </cell>
        </row>
        <row r="142">
          <cell r="A142" t="str">
            <v>73839/8</v>
          </cell>
          <cell r="B142" t="str">
            <v>ASSENTAMENTO DE TUBOS DE AÇO, COM JUNTA ELÁSTICA (COMPRIMENTO DE 6,00 M) - DN 500 MM</v>
          </cell>
          <cell r="C142" t="str">
            <v>M</v>
          </cell>
          <cell r="D142">
            <v>14.5</v>
          </cell>
        </row>
        <row r="143">
          <cell r="A143" t="str">
            <v>73839/9</v>
          </cell>
          <cell r="B143" t="str">
            <v>ASSENTAMENTO DE TUBOS DE AÇO, COM JUNTA ELÁSTICA (COMPRIMENTO DE 6,00 M) - DN 600 MM</v>
          </cell>
          <cell r="C143" t="str">
            <v>M</v>
          </cell>
          <cell r="D143">
            <v>17.47</v>
          </cell>
        </row>
        <row r="144">
          <cell r="A144" t="str">
            <v>73839/10</v>
          </cell>
          <cell r="B144" t="str">
            <v>ASSENTAMENTO DE TUBOS DE AÇO, COM JUNTA ELÁSTICA (COMPRIMENTO DE 6,00 M) - DN 700 MM</v>
          </cell>
          <cell r="C144" t="str">
            <v>M</v>
          </cell>
          <cell r="D144">
            <v>21.71</v>
          </cell>
        </row>
        <row r="145">
          <cell r="A145" t="str">
            <v>73839/11</v>
          </cell>
          <cell r="B145" t="str">
            <v>ASSENTAMENTO DE TUBOS DE AÇO, COM JUNTA ELÁSTICA (COMPRIMENTO DE 6,00 M) - DN 800 MM</v>
          </cell>
          <cell r="C145" t="str">
            <v>M</v>
          </cell>
          <cell r="D145">
            <v>25.01</v>
          </cell>
        </row>
        <row r="146">
          <cell r="A146" t="str">
            <v>73839/12</v>
          </cell>
          <cell r="B146" t="str">
            <v>ASSENTAMENTO DE TUBOS DE AÇO, COM JUNTA ELÁSTICA (COMPRIMENTO DE 6,00 M) - DN 900 MM</v>
          </cell>
          <cell r="C146" t="str">
            <v>M</v>
          </cell>
          <cell r="D146">
            <v>29.38</v>
          </cell>
        </row>
        <row r="147">
          <cell r="A147" t="str">
            <v>73839/13</v>
          </cell>
          <cell r="B147" t="str">
            <v>ASSENTAMENTO DE TUBOS DE AÇO, COM JUNTA ELÁSTICA (COMPRIMENTO DE 6,00 M) - DN 1000 MM</v>
          </cell>
          <cell r="C147" t="str">
            <v>M</v>
          </cell>
          <cell r="D147">
            <v>31.43</v>
          </cell>
        </row>
        <row r="148">
          <cell r="A148" t="str">
            <v>73839/14</v>
          </cell>
          <cell r="B148" t="str">
            <v>ASSENTAMENTO DE TUBOS DE AÇO, COM JUNTA ELÁSTICA (COMPRIMENTO DE 6,00 M) - DN 1100 MM</v>
          </cell>
          <cell r="C148" t="str">
            <v>M</v>
          </cell>
          <cell r="D148">
            <v>37.26</v>
          </cell>
        </row>
        <row r="149">
          <cell r="A149" t="str">
            <v>73839/15</v>
          </cell>
          <cell r="B149" t="str">
            <v>ASSENTAMENTO DE TUBOS DE AÇO, COM JUNTA ELÁSTICA (COMPRIMENTO DE 6,00 M) - DN 1200 MM</v>
          </cell>
          <cell r="C149" t="str">
            <v>M</v>
          </cell>
          <cell r="D149">
            <v>44.1</v>
          </cell>
        </row>
        <row r="150">
          <cell r="A150" t="str">
            <v>73752/1</v>
          </cell>
          <cell r="B150" t="str">
            <v>SANITARIO COM VASO E CHUVEIRO PARA PESSOAL DE OBRA, COLETIVO DE 2 MODULOS, INCLUSIVE INSTALACAO E APARELHOS, REAPROVEITADO 2 VEZES</v>
          </cell>
          <cell r="C150" t="str">
            <v>UN</v>
          </cell>
          <cell r="D150">
            <v>2478.06</v>
          </cell>
        </row>
        <row r="151">
          <cell r="A151" t="str">
            <v>73803/1</v>
          </cell>
          <cell r="B151" t="str">
            <v>GALPAO ABERTO PARA OFICINA E DEPOSITO DE CANTEIRO DE OBRAS, EM MADEIRA DE LEI</v>
          </cell>
          <cell r="C151" t="str">
            <v>M2</v>
          </cell>
          <cell r="D151">
            <v>168.42</v>
          </cell>
        </row>
        <row r="152">
          <cell r="A152" t="str">
            <v>73805/1</v>
          </cell>
          <cell r="B152" t="str">
            <v>BARRACAO DE OBRA PARA ALOJAMENTO/ESCRITORIO, PISO EM PINHO 3A, PAREDES EM COMPENSADO 10MM, COBERTURA EM TELHA AMIANTO 6MM, INCLUSO INSTALACOES ELETRICAS E ESQUADRIAS</v>
          </cell>
          <cell r="C152" t="str">
            <v>M2</v>
          </cell>
          <cell r="D152">
            <v>199.31</v>
          </cell>
        </row>
        <row r="153">
          <cell r="A153" t="str">
            <v>74210/1</v>
          </cell>
          <cell r="B153" t="str">
            <v>BARRACAO PARA DEPOSITO EM TABUAS DE MADEIRA, COBERTURA EM FIBROCIMENTO 4 MM,  INCLUSO PISO ARGAMASSA TRAÇO 1:6 (CIMENTO E AREIA)</v>
          </cell>
          <cell r="C153" t="str">
            <v>M2</v>
          </cell>
          <cell r="D153">
            <v>251.4</v>
          </cell>
        </row>
        <row r="154">
          <cell r="A154" t="str">
            <v>74242/1</v>
          </cell>
          <cell r="B154" t="str">
            <v>BARRACAO DE OBRA EM CHAPA DE MADEIRA COMPENSADA COM BANHEIRO, COBERTURA EM FIBROCIMENTO 4 MM, INCLUSO INSTALACOES HIDRO-SANITARIAS E ELETRICAS</v>
          </cell>
          <cell r="C154" t="str">
            <v>M2</v>
          </cell>
          <cell r="D154">
            <v>148.75</v>
          </cell>
        </row>
        <row r="155">
          <cell r="A155">
            <v>85253</v>
          </cell>
          <cell r="B155" t="str">
            <v>GALPAO ABERTO EM CANTEIRO DE OBRA, COM ESTRUTURA EM MADEIRA (REAPROVEITAMENTO 3X) E TELHA ONDULADA 6MM, INCLUINDO PISO CIMENTADO COM PREPARO DO TERRENO</v>
          </cell>
          <cell r="C155" t="str">
            <v>M2</v>
          </cell>
          <cell r="D155">
            <v>133.61000000000001</v>
          </cell>
        </row>
        <row r="156">
          <cell r="A156" t="str">
            <v>74209/1</v>
          </cell>
          <cell r="B156" t="str">
            <v>PLACA DE OBRA EM CHAPA DE ACO GALVANIZADO</v>
          </cell>
          <cell r="C156" t="str">
            <v>M2</v>
          </cell>
          <cell r="D156">
            <v>306.8</v>
          </cell>
        </row>
        <row r="157">
          <cell r="A157" t="str">
            <v>73756/1</v>
          </cell>
          <cell r="B157" t="str">
            <v>MONTAGEM / DESMONTAGEM DE USINA CONCRETO TIPO PAREDE C/SILOS HORIZONTAL P/3 AGREGADOS, INCLUSIVE MECANICO (PESADO)</v>
          </cell>
          <cell r="C157" t="str">
            <v>UN</v>
          </cell>
          <cell r="D157">
            <v>20331.03</v>
          </cell>
        </row>
        <row r="158">
          <cell r="A158" t="str">
            <v>73847/1</v>
          </cell>
          <cell r="B158" t="str">
            <v>ALUGUEL CONTAINER/ESCRIT INCL INST ELET LARG=2,20 COMP=6,20M          ALT=2,50M CHAPA ACO C/NERV TRAPEZ FORRO C/ISOL TERMO/ACUSTICO         CHASSIS REFORC PISO COMPENS NAVAL EXC TRANSP/CARGA/DESCARGA</v>
          </cell>
          <cell r="C158" t="str">
            <v>MES</v>
          </cell>
          <cell r="D158">
            <v>653.03</v>
          </cell>
        </row>
        <row r="159">
          <cell r="A159" t="str">
            <v>73847/2</v>
          </cell>
          <cell r="B159" t="str">
            <v>ALUGUEL CONTAINER/ESCRIT/WC C/1 VASO/1 LAV/1 MIC/4 CHUV LARG          =2,20M COMPR=6,20M ALT=2,50M CHAPA ACO NERV TRAPEZ FORROC/            ISOL TERMO-ACUST CHASSIS REFORC PISO COMPENS NAVAL INCL INST          ELETR/HIDRO-SANIT EXCL TRANSP/CARGA/DESCARGA</v>
          </cell>
          <cell r="C159" t="str">
            <v>MES</v>
          </cell>
          <cell r="D159">
            <v>722.83</v>
          </cell>
        </row>
        <row r="160">
          <cell r="A160" t="str">
            <v>73847/3</v>
          </cell>
          <cell r="B160" t="str">
            <v>ALUGUEL CONTAINER/SANIT C/2 VASOS/1 LAVAT/1 MIC/4 CHUV LARG=          2,20M COMPR=6,20M ALT=2,50M CHAPA ACO C/NERV TRAPEZ FORRO C/          ISOLAM TERMO/ACUSTICO CHASSIS REFORC PISO COMPENS NAVAL INCL          INST ELETR/HIDR EXCL TRANSP/CARGA/DESCARG</v>
          </cell>
          <cell r="C160" t="str">
            <v>MES</v>
          </cell>
          <cell r="D160">
            <v>1001.85</v>
          </cell>
        </row>
        <row r="161">
          <cell r="A161" t="str">
            <v>73847/4</v>
          </cell>
          <cell r="B161" t="str">
            <v>ALUGUEL CONTAINER/SANIT C/4 VASOS/1 LAVAT/1 MIC/4 CHUV LARG=          2,20M COMPR=6,20M ALT=2,50M CHAPAS ACO C/NERV TRAPEZ FORRO C/         ISOL TERMO-ACUST CHASSIS REFORC PISO COMPENS NAVAL INCL INST RA       ELETR/HIDRO-SANIT EXCL TRANSP/CARGA/DESCARGA</v>
          </cell>
          <cell r="C161" t="str">
            <v>MES</v>
          </cell>
          <cell r="D161">
            <v>1074.42</v>
          </cell>
        </row>
        <row r="162">
          <cell r="A162" t="str">
            <v>73847/5</v>
          </cell>
          <cell r="B162" t="str">
            <v>ALUGUEL CONTAINER/SANIT C/7 VASOS/1 LAVAT/1 MIC LARG=2,20M            COMPR=6,20M ALT=2,50M CHAPA ACO NERV TRAPEZ FORRO C/ISOL              TERMO-ACUST CHASSIS REFORC PISO COMPENS NAVAL INCL INST ELET          /HIDRO-SANIT EXCL TRANSP/CARGA/DESCARGA</v>
          </cell>
          <cell r="C162" t="str">
            <v>MES</v>
          </cell>
          <cell r="D162">
            <v>1103.3</v>
          </cell>
        </row>
        <row r="163">
          <cell r="A163">
            <v>5631</v>
          </cell>
          <cell r="B163" t="str">
            <v>ESCAVADEIRA HIDRAULICA SOBRE ESTEIRA 105HP, PESO OPERACIONAL 17T, CAP. 0,8M3 - CHP DIURNO</v>
          </cell>
          <cell r="C163" t="str">
            <v>CHP</v>
          </cell>
          <cell r="D163">
            <v>163.72</v>
          </cell>
        </row>
        <row r="164">
          <cell r="A164">
            <v>5678</v>
          </cell>
          <cell r="B164" t="str">
            <v>RETRO-ESCAVADEIRA, 4 X 4, 86 CV (VU= 5 ANOS)  - CHP DIURNO</v>
          </cell>
          <cell r="C164" t="str">
            <v>CHP</v>
          </cell>
          <cell r="D164">
            <v>100.94</v>
          </cell>
        </row>
        <row r="165">
          <cell r="A165">
            <v>5680</v>
          </cell>
          <cell r="B165" t="str">
            <v>RETRO-ESCAVADEIRA, 75CV (VU= 5 ANOS) -CHP DIURNO</v>
          </cell>
          <cell r="C165" t="str">
            <v>CHP</v>
          </cell>
          <cell r="D165">
            <v>92.11</v>
          </cell>
        </row>
        <row r="166">
          <cell r="A166">
            <v>5682</v>
          </cell>
          <cell r="B166" t="str">
            <v>ROLO COMPACTADOR VIBRATÓRIO, CILINDRO LISO, AUTO-PROPEL. 80HP, PESO MÁXIMO OPERACIONAL 8,1T - CHP DIURNO</v>
          </cell>
          <cell r="C166" t="str">
            <v>CHP</v>
          </cell>
          <cell r="D166">
            <v>121.33</v>
          </cell>
        </row>
        <row r="167">
          <cell r="A167">
            <v>5684</v>
          </cell>
          <cell r="B167" t="str">
            <v>ROLO COMPACTADOR VIBRATÓRIO DE CILINDRO LISO, AUTO-PROPEL.  83 CV -  6,6T, IMPACTO DINÂMICO 18,5/11,5T - CHP DIURNO</v>
          </cell>
          <cell r="C167" t="str">
            <v>CHP</v>
          </cell>
          <cell r="D167">
            <v>101.49</v>
          </cell>
        </row>
        <row r="168">
          <cell r="A168">
            <v>5686</v>
          </cell>
          <cell r="B168" t="str">
            <v>ROLO COMPACTADOR VIBRATÓRIO, TANDEM, AUTO PROPEL., CILINDRO LISO DE AÇO, 40HP -  4,4T, IMPACTO DINÂMICO 3,1T- VU 5 ANOS - CHP DIURNO.</v>
          </cell>
          <cell r="C168" t="str">
            <v>CHP</v>
          </cell>
          <cell r="D168">
            <v>50.86</v>
          </cell>
        </row>
        <row r="169">
          <cell r="A169">
            <v>5689</v>
          </cell>
          <cell r="B169" t="str">
            <v>GRADE ARADORA COM 24 DISCOS DE 24" SOBRE PNEUS - CHP DIURNO</v>
          </cell>
          <cell r="C169" t="str">
            <v>CHP</v>
          </cell>
          <cell r="D169">
            <v>5.2</v>
          </cell>
        </row>
        <row r="170">
          <cell r="A170">
            <v>5761</v>
          </cell>
          <cell r="B170" t="str">
            <v>CAMINHAO PIPA 6000L TOCO, 162CV - 7,5T (VU=6ANOS) (INCLUI TANQUE DE ACO PARA TRANSPORTE DE AGUA E MOTOBOMBA CENTRIFUGA A GASOLINA 3,5CV) - CUSTO HORARIO PRODUTIVO DIURNO</v>
          </cell>
          <cell r="C170" t="str">
            <v>CHP</v>
          </cell>
          <cell r="D170">
            <v>117.88</v>
          </cell>
        </row>
        <row r="171">
          <cell r="A171">
            <v>5795</v>
          </cell>
          <cell r="B171" t="str">
            <v>MARTELETE OU ROMPEDOR PNEUMÁTICO MANUAL 28KG, FREQUENCIA DE IMPACTO 1230/MINUTO - CHP DIURNO</v>
          </cell>
          <cell r="C171" t="str">
            <v>CHP</v>
          </cell>
          <cell r="D171">
            <v>11.43</v>
          </cell>
        </row>
        <row r="172">
          <cell r="A172">
            <v>5808</v>
          </cell>
          <cell r="B172" t="str">
            <v>USINA DE ASFALTO A QUENTE FIXA CAP.40/80 TON/H - CHP DIURNO</v>
          </cell>
          <cell r="C172" t="str">
            <v>CHP</v>
          </cell>
          <cell r="D172">
            <v>448.42</v>
          </cell>
        </row>
        <row r="173">
          <cell r="A173">
            <v>5811</v>
          </cell>
          <cell r="B173" t="str">
            <v>CAMINHAO BASCULANTE,  6M3,12T - 162HP (VU=5ANOS) - CHP DIURNO</v>
          </cell>
          <cell r="C173" t="str">
            <v>CHP</v>
          </cell>
          <cell r="D173">
            <v>117.7</v>
          </cell>
        </row>
        <row r="174">
          <cell r="A174">
            <v>5823</v>
          </cell>
          <cell r="B174" t="str">
            <v>USINA DE CONCRETO FIXA CAPACIDADE 90/120 M³, 63HP - CHP DIURNO</v>
          </cell>
          <cell r="C174" t="str">
            <v>CHP</v>
          </cell>
          <cell r="D174">
            <v>97.05</v>
          </cell>
        </row>
        <row r="175">
          <cell r="A175">
            <v>5824</v>
          </cell>
          <cell r="B175" t="str">
            <v>CAMINHAO CARROCERIA ABERTA,EM MADEIRA, TOCO, 170CV - 11T (VU=6ANOS) - CUSTO HORÁRIO DE PRODUÇÃO DIURNA</v>
          </cell>
          <cell r="C175" t="str">
            <v>CHP</v>
          </cell>
          <cell r="D175">
            <v>109.72</v>
          </cell>
        </row>
        <row r="176">
          <cell r="A176">
            <v>5835</v>
          </cell>
          <cell r="B176" t="str">
            <v>VIBROACABADORA SOBRE ESTEIRAS POTENCIA MAX. 105CV CAPACIDADE ATE 450 T/H  - CHP DIURNO</v>
          </cell>
          <cell r="C176" t="str">
            <v>CHP</v>
          </cell>
          <cell r="D176">
            <v>218.36</v>
          </cell>
        </row>
        <row r="177">
          <cell r="A177">
            <v>5839</v>
          </cell>
          <cell r="B177" t="str">
            <v>VASSOURA MECÂNICA REBOCÁVEL C/ ESCOVA CILÍNDRICA LARGURA = 2,44M - CHP DIURNO</v>
          </cell>
          <cell r="C177" t="str">
            <v>CHP</v>
          </cell>
          <cell r="D177">
            <v>6.99</v>
          </cell>
        </row>
        <row r="178">
          <cell r="A178">
            <v>5843</v>
          </cell>
          <cell r="B178" t="str">
            <v>TRATOR DE PNEUS 110 A 126 HP - CHP DIURNO</v>
          </cell>
          <cell r="C178" t="str">
            <v>CHP</v>
          </cell>
          <cell r="D178">
            <v>118.9</v>
          </cell>
        </row>
        <row r="179">
          <cell r="A179">
            <v>5847</v>
          </cell>
          <cell r="B179" t="str">
            <v>TRATOR DE ESTEIRAS POTENCIA 165 HP, PESO OPERACIONAL 17,1T  - CHP DIURNO</v>
          </cell>
          <cell r="C179" t="str">
            <v>CHP</v>
          </cell>
          <cell r="D179">
            <v>262.85000000000002</v>
          </cell>
        </row>
        <row r="180">
          <cell r="A180">
            <v>5851</v>
          </cell>
          <cell r="B180" t="str">
            <v>TRATOR DE ESTEIRAS 153HP PESO OPERACIONAL 15T, COM RODA MOTRIZ ELEVADA  - CHP DIURNO</v>
          </cell>
          <cell r="C180" t="str">
            <v>CHP</v>
          </cell>
          <cell r="D180">
            <v>264.81</v>
          </cell>
        </row>
        <row r="181">
          <cell r="A181">
            <v>5855</v>
          </cell>
          <cell r="B181" t="str">
            <v>TRATOR DE ESTEIRAS COM LAMINA - POTENCIA 305 HP - PESO OPERACIONAL 37 T - CHP DIURNO</v>
          </cell>
          <cell r="C181" t="str">
            <v>CHP</v>
          </cell>
          <cell r="D181">
            <v>603.89</v>
          </cell>
        </row>
        <row r="182">
          <cell r="A182">
            <v>5863</v>
          </cell>
          <cell r="B182" t="str">
            <v>ROLO COMPACTADOR VIBRATÓRIO REBOCÁVEL AÇO LISO, PESO 4,7T, IMPACTO DINÂMICO 18,3T - CHP DIURNO</v>
          </cell>
          <cell r="C182" t="str">
            <v>CHP</v>
          </cell>
          <cell r="D182">
            <v>62.97</v>
          </cell>
        </row>
        <row r="183">
          <cell r="A183">
            <v>5867</v>
          </cell>
          <cell r="B183" t="str">
            <v>ROLO COMPACTADOR VIBRATÓRIO TANDEM AÇO LISO, POTÊNCIA 58CV, PESO SEM/COM LASTRO 6,5/9,4 T - CHP DIURNO</v>
          </cell>
          <cell r="C183" t="str">
            <v>CHP</v>
          </cell>
          <cell r="D183">
            <v>85</v>
          </cell>
        </row>
        <row r="184">
          <cell r="A184">
            <v>5871</v>
          </cell>
          <cell r="B184" t="str">
            <v>ROLO COMPACTADOR DE PNEUS ESTÁTICO PARA ASFALTO, PRESSÃO VARIÁVEL, POTÊNCIA 99HP, PESO OPERACIONAL SEM/COM LASTRO 8,3/21,0 T - CHP DIURNO</v>
          </cell>
          <cell r="C184" t="str">
            <v>CHP</v>
          </cell>
          <cell r="D184">
            <v>143.86000000000001</v>
          </cell>
        </row>
        <row r="185">
          <cell r="A185">
            <v>5875</v>
          </cell>
          <cell r="B185" t="str">
            <v>RETRO-ESCAVADEIRA, 74HP   - (VU = 6 ANOS) - CHP DIURNO</v>
          </cell>
          <cell r="C185" t="str">
            <v>CHP</v>
          </cell>
          <cell r="D185">
            <v>94.64</v>
          </cell>
        </row>
        <row r="186">
          <cell r="A186">
            <v>5879</v>
          </cell>
          <cell r="B186" t="str">
            <v>ROLO COMPACTADOR VIBRATÓRIO PÉ DE CARNEIRO, OPERADO POR CONTROLE REMOTO, POTÊNCIA 17HP, PESO OPERACIONAL 1,65T - CHP DIURNO</v>
          </cell>
          <cell r="C186" t="str">
            <v>CHP</v>
          </cell>
          <cell r="D186">
            <v>7.55</v>
          </cell>
        </row>
        <row r="187">
          <cell r="A187">
            <v>5882</v>
          </cell>
          <cell r="B187" t="str">
            <v>EQUIPAMENTO PARA LAMA ASFALTICA COM SILO DE AGREGADO 6M3, DOSADOR DE CIMENTO, A SER MONTADO SOBRE CAMINHÃO (NAO INCLUI O CAMINHAO) - CUSTO HORARIO PRODUTIVO DIURNO</v>
          </cell>
          <cell r="C187" t="str">
            <v>CHP</v>
          </cell>
          <cell r="D187">
            <v>160.82</v>
          </cell>
        </row>
        <row r="188">
          <cell r="A188">
            <v>5886</v>
          </cell>
          <cell r="B188" t="str">
            <v>CAMINHAO PIPA FORD F12000 6000L 162CV C/BOMBA GASOLINA - CHP DIURNO</v>
          </cell>
          <cell r="C188" t="str">
            <v>CHP</v>
          </cell>
          <cell r="D188">
            <v>97.89</v>
          </cell>
        </row>
        <row r="189">
          <cell r="A189">
            <v>5890</v>
          </cell>
          <cell r="B189" t="str">
            <v>CAMINHAO TOCO, 177CV - 14T (VU=6ANOS) (NAO INCLUI CARROCERIA) - CUSTO HORARIO PRODUTIVO DIURNO</v>
          </cell>
          <cell r="C189" t="str">
            <v>CHP</v>
          </cell>
          <cell r="D189">
            <v>112.72</v>
          </cell>
        </row>
        <row r="190">
          <cell r="A190">
            <v>5894</v>
          </cell>
          <cell r="B190" t="str">
            <v>CAMINHAO TOCO, 170CV - 11T (VU=6ANOS) (NAO INCLUI CARROCERIA) - CUSTO HORARIO PRODUTIVO DIURNO</v>
          </cell>
          <cell r="C190" t="str">
            <v>CHP</v>
          </cell>
          <cell r="D190">
            <v>108.38</v>
          </cell>
        </row>
        <row r="191">
          <cell r="A191">
            <v>5901</v>
          </cell>
          <cell r="B191" t="str">
            <v>CAMINHAO PIPA 10000L TRUCADO, 208CV - 21,1T (VU=6ANOS) (INCLUI TANQUE DE ACO PARA TRANSPORTE DE AGUA E MOTOBOMBA CENTRIFUGA A GASOLINA 3,5CV) - CUSTO HORARIO PRODUTIVO DIURNO</v>
          </cell>
          <cell r="C191" t="str">
            <v>CHP</v>
          </cell>
          <cell r="D191">
            <v>113.2</v>
          </cell>
        </row>
        <row r="192">
          <cell r="A192">
            <v>5905</v>
          </cell>
          <cell r="B192" t="str">
            <v>DISTRIBUIDOR DE AGREGADO TIPO DOSADOR REBOCAVEL  COM 4 PNEUS COM LARGURA 3,66 M - CHP DIURNO</v>
          </cell>
          <cell r="C192" t="str">
            <v>CHP</v>
          </cell>
          <cell r="D192">
            <v>16.920000000000002</v>
          </cell>
        </row>
        <row r="193">
          <cell r="A193">
            <v>5909</v>
          </cell>
          <cell r="B193" t="str">
            <v>DISTRIBUIDOR DE BETUME COM TANQUE DE 2500L, REBOCAVEL, PNEUMATICO COM MOTOR A GASOLINA 3,4HP - CHP DIURNO</v>
          </cell>
          <cell r="C193" t="str">
            <v>CHP</v>
          </cell>
          <cell r="D193">
            <v>61.8</v>
          </cell>
        </row>
        <row r="194">
          <cell r="A194">
            <v>5913</v>
          </cell>
          <cell r="B194" t="str">
            <v>DISTRIBUIDOR DE ASFALTO MONTADO SOBRE CAMINHAO TOCO 162 HP, COM TANQUE ISOLADO 6 M3 COM BARRA ESPARGIDORA DE 3,66 M - CHP DIURNO</v>
          </cell>
          <cell r="C194" t="str">
            <v>CHP</v>
          </cell>
          <cell r="D194">
            <v>219.56</v>
          </cell>
        </row>
        <row r="195">
          <cell r="A195">
            <v>5921</v>
          </cell>
          <cell r="B195" t="str">
            <v>GRADE ARADORA DE DISCO REBOCÁVEL 20X24 COM 20 DISCOS DIAM 24X6MM COM PNEUS PARA TRANSPORTE - CHP DIURNO. AF_01/2014</v>
          </cell>
          <cell r="C195" t="str">
            <v>CHP</v>
          </cell>
          <cell r="D195">
            <v>3.23</v>
          </cell>
        </row>
        <row r="196">
          <cell r="A196">
            <v>5924</v>
          </cell>
          <cell r="B196" t="str">
            <v>LANCA ELEVATORIA TELESCOPICA DE ACIONAMENTO HIDRAULICO, CAPACIDADE DE CARGA 30.000 KG, COM CESTO, MONTADA SOBRE CAMINHAO TRUCADO  - CHP DIURNO</v>
          </cell>
          <cell r="C196" t="str">
            <v>CHP</v>
          </cell>
          <cell r="D196">
            <v>401.25</v>
          </cell>
        </row>
        <row r="197">
          <cell r="A197">
            <v>5928</v>
          </cell>
          <cell r="B197" t="str">
            <v>GUINDASTE MUNK COM CESTO, CARGA MAXIMA 5,75T (A 2M) E 2,3T ( A 5M), ALT URA MAXIMA = 7,9M, MONTADO SOBRE CAMINHAO DE CARROCERIA 162HP  -  CHP DIURNO</v>
          </cell>
          <cell r="C197" t="str">
            <v>CHP</v>
          </cell>
          <cell r="D197">
            <v>120.82</v>
          </cell>
        </row>
        <row r="198">
          <cell r="A198">
            <v>5932</v>
          </cell>
          <cell r="B198" t="str">
            <v>MOTONIVELADORA CATERPILLAR 120 140HP (VU=6ANOS) - CHP DIURNO</v>
          </cell>
          <cell r="C198" t="str">
            <v>CHP</v>
          </cell>
          <cell r="D198">
            <v>183.6</v>
          </cell>
        </row>
        <row r="199">
          <cell r="A199">
            <v>5940</v>
          </cell>
          <cell r="B199" t="str">
            <v>PA CARREGADEIRA SOBRE RODAS 105 HP - CAPACIDADE DA CACAMBA 1,4 A 1,7 M3 - PESO OPERACIONAL 9.100 KG  - CHP DIURNO</v>
          </cell>
          <cell r="C199" t="str">
            <v>CHP</v>
          </cell>
          <cell r="D199">
            <v>141.38999999999999</v>
          </cell>
        </row>
        <row r="200">
          <cell r="A200">
            <v>5944</v>
          </cell>
          <cell r="B200" t="str">
            <v>PA CARREGADEIRA SOBRE RODAS 180 HP - CAPACIDADE DA CACAMBA. 2,5 A 3,3 M3 - PESO OPERACIONAL 17.428 - CHP DIURNO</v>
          </cell>
          <cell r="C200" t="str">
            <v>CHP</v>
          </cell>
          <cell r="D200">
            <v>241.17</v>
          </cell>
        </row>
        <row r="201">
          <cell r="A201">
            <v>5948</v>
          </cell>
          <cell r="B201" t="str">
            <v>ROLO COMPACTADOR VIBRATÓRIO DE UM CILINDRO AÇO LISO, POTÊNCIA 80HP, PESO OPERACIONAL 8,1T - CHP DIURNO</v>
          </cell>
          <cell r="C201" t="str">
            <v>CHP</v>
          </cell>
          <cell r="D201">
            <v>120.97</v>
          </cell>
        </row>
        <row r="202">
          <cell r="A202">
            <v>5953</v>
          </cell>
          <cell r="B202" t="str">
            <v>COMPRESSOR DE AR REBOCAVEL, DESCARGA LIVRE EFETIVA 180PCM, PRESSAO DE TRABALHO 102 PSI, MOTOR A DIESEL 89CV - CUSTO HORARIO PRODUTIVO DIURNO</v>
          </cell>
          <cell r="C202" t="str">
            <v>CHP</v>
          </cell>
          <cell r="D202">
            <v>61.17</v>
          </cell>
        </row>
        <row r="203">
          <cell r="A203">
            <v>5955</v>
          </cell>
          <cell r="B203" t="str">
            <v>BOMBA ELETRICA SUBMERSA MONOFASICA 3CV - CHP DIURNO</v>
          </cell>
          <cell r="C203" t="str">
            <v>CHP</v>
          </cell>
          <cell r="D203">
            <v>1.35</v>
          </cell>
        </row>
        <row r="204">
          <cell r="A204">
            <v>6174</v>
          </cell>
          <cell r="B204" t="str">
            <v>CAMINHAO BASCULANTE - 5,0M3 - 170HP,11,24T (VU=5ANOS) - CHP DIURNO</v>
          </cell>
          <cell r="C204" t="str">
            <v>CHP</v>
          </cell>
          <cell r="D204">
            <v>127.57</v>
          </cell>
        </row>
        <row r="205">
          <cell r="A205">
            <v>6236</v>
          </cell>
          <cell r="B205" t="str">
            <v>TRATOR DE ESTEIRAS COM LAMINA - POTENCIA 305 HP - PESO OPERACIONAL 37 T (VU=10ANOS) - CHP DIURNO</v>
          </cell>
          <cell r="C205" t="str">
            <v>CHP</v>
          </cell>
          <cell r="D205">
            <v>425.48</v>
          </cell>
        </row>
        <row r="206">
          <cell r="A206">
            <v>6242</v>
          </cell>
          <cell r="B206" t="str">
            <v>PA CARREGADEIRA SOBRE RODAS 180 HP - CAPACIDADE DA CACAMBA. 2,5 A 3,3 M3 - PESO OPERACIONAL 17.428  - CHP DIURNO</v>
          </cell>
          <cell r="C206" t="str">
            <v>CHP</v>
          </cell>
          <cell r="D206">
            <v>192.82</v>
          </cell>
        </row>
        <row r="207">
          <cell r="A207">
            <v>6246</v>
          </cell>
          <cell r="B207" t="str">
            <v>MOTONIVELADORA 140HP PESO OPERACIONAL 12,5T - CHP DIURNO</v>
          </cell>
          <cell r="C207" t="str">
            <v>CHP</v>
          </cell>
          <cell r="D207">
            <v>166.69</v>
          </cell>
        </row>
        <row r="208">
          <cell r="A208">
            <v>6250</v>
          </cell>
          <cell r="B208" t="str">
            <v>TRATOR DE ESTEIRAS CATERPILLAR D6 153HP (VU=10AN0S) - CHP DIURNO</v>
          </cell>
          <cell r="C208" t="str">
            <v>CHP</v>
          </cell>
          <cell r="D208">
            <v>194.43</v>
          </cell>
        </row>
        <row r="209">
          <cell r="A209">
            <v>6256</v>
          </cell>
          <cell r="B209" t="str">
            <v>CAMINHAO BASCULANTE 204CV (VU=7ANOS/14.000H) - CHP DIURNO</v>
          </cell>
          <cell r="C209" t="str">
            <v>CHP</v>
          </cell>
          <cell r="D209">
            <v>153.41</v>
          </cell>
        </row>
        <row r="210">
          <cell r="A210">
            <v>6259</v>
          </cell>
          <cell r="B210" t="str">
            <v>CAMINHAO PIPA 6000L TOCO, 162CV - 7,5T (VU=6ANOS) (INCLUI TANQUE DE ACO PARA TRANSPORTE DE AGUA) - CUSTO HORARIO PRODUTIVO DIURNO</v>
          </cell>
          <cell r="C210" t="str">
            <v>CHP</v>
          </cell>
          <cell r="D210">
            <v>83.28</v>
          </cell>
        </row>
        <row r="211">
          <cell r="A211">
            <v>6388</v>
          </cell>
          <cell r="B211" t="str">
            <v>MAQUINA SOLDA ARCO 375A DIESEL 33CV CHP DIURNO EXCLUSIVE OPERADOR</v>
          </cell>
          <cell r="C211" t="str">
            <v>H</v>
          </cell>
          <cell r="D211">
            <v>36.840000000000003</v>
          </cell>
        </row>
        <row r="212">
          <cell r="A212">
            <v>6554</v>
          </cell>
          <cell r="B212" t="str">
            <v>TRATOR DE PNEUS TRAÇÃO 4 X 2, 82CV  - CHP DIURNO</v>
          </cell>
          <cell r="C212" t="str">
            <v>CHP</v>
          </cell>
          <cell r="D212">
            <v>91.18</v>
          </cell>
        </row>
        <row r="213">
          <cell r="A213">
            <v>6878</v>
          </cell>
          <cell r="B213" t="str">
            <v>CAMINHAO BASCULANTE 4,0M3 TOCO 162CV PBT=11800KG - CHP DIURNO</v>
          </cell>
          <cell r="C213" t="str">
            <v>CHP</v>
          </cell>
          <cell r="D213">
            <v>116.33</v>
          </cell>
        </row>
        <row r="214">
          <cell r="A214">
            <v>6879</v>
          </cell>
          <cell r="B214" t="str">
            <v>ROLO COMPACTADOR DE PNEUS ESTATICO, PRESSAO VARIAVEL, POTENCIA 111HP - PESO SEM/COM LASTRO 9,5/22,4T. - CHP</v>
          </cell>
          <cell r="C214" t="str">
            <v>CHP</v>
          </cell>
          <cell r="D214">
            <v>160.63999999999999</v>
          </cell>
        </row>
        <row r="215">
          <cell r="A215">
            <v>7006</v>
          </cell>
          <cell r="B215" t="str">
            <v>EXTRUSORA DE GUIAS E SARJETAS 14HP - CHP</v>
          </cell>
          <cell r="C215" t="str">
            <v>CHP</v>
          </cell>
          <cell r="D215">
            <v>16.47</v>
          </cell>
        </row>
        <row r="216">
          <cell r="A216">
            <v>7012</v>
          </cell>
          <cell r="B216" t="str">
            <v>VEICULO UTILITARIO TIPO PICK-UP A GASOLINA COM 56,8CV - CHP</v>
          </cell>
          <cell r="C216" t="str">
            <v>CHP</v>
          </cell>
          <cell r="D216">
            <v>68.25</v>
          </cell>
        </row>
        <row r="217">
          <cell r="A217">
            <v>7018</v>
          </cell>
          <cell r="B217" t="str">
            <v>DISTRIBUIDOR DE BETUME 6000L 56CV SOB PRESSAO MONTADO SOBRE CHASSIS DE CAMINHAO - CHP</v>
          </cell>
          <cell r="C217" t="str">
            <v>CHP</v>
          </cell>
          <cell r="D217">
            <v>193.42</v>
          </cell>
        </row>
        <row r="218">
          <cell r="A218">
            <v>7024</v>
          </cell>
          <cell r="B218" t="str">
            <v>ROLO COMPACTADOR DE PNEUS 111HP 11TON - CHP</v>
          </cell>
          <cell r="C218" t="str">
            <v>CHP</v>
          </cell>
          <cell r="D218">
            <v>126.54</v>
          </cell>
        </row>
        <row r="219">
          <cell r="A219">
            <v>7029</v>
          </cell>
          <cell r="B219" t="str">
            <v>ROLO COMPACTADOR DE PNEUS 111HP 11TON - CUSTOS COM MAO-DE-OBRA NA OPERACAO DIURNA</v>
          </cell>
          <cell r="C219" t="str">
            <v>H</v>
          </cell>
          <cell r="D219">
            <v>17.04</v>
          </cell>
        </row>
        <row r="220">
          <cell r="A220">
            <v>7030</v>
          </cell>
          <cell r="B220" t="str">
            <v>TANQUE ESTACINARIO TAA COM SERPENTINA E CAPACIDADE PARA 30.000L - CHP</v>
          </cell>
          <cell r="C220" t="str">
            <v>CHP</v>
          </cell>
          <cell r="D220">
            <v>456.44</v>
          </cell>
        </row>
        <row r="221">
          <cell r="A221">
            <v>7036</v>
          </cell>
          <cell r="B221" t="str">
            <v>ROLO COMPACTADOR DE PNEUS ESTÁTICO PRESSÃO VARIÁVEL AUTO-PROPELIDO, POTÊNCIA 111HP, PESO OPERACIONAL SEM/COM LASTRO 8/23 T - CHP</v>
          </cell>
          <cell r="C221" t="str">
            <v>CHP</v>
          </cell>
          <cell r="D221">
            <v>126.54</v>
          </cell>
        </row>
        <row r="222">
          <cell r="A222">
            <v>7042</v>
          </cell>
          <cell r="B222" t="str">
            <v>CONJUNTO MOTOR-BOMBA DIESEL PARA DRENAGEM DE AGUA SUJA - 6HP - CHP</v>
          </cell>
          <cell r="C222" t="str">
            <v>CHP</v>
          </cell>
          <cell r="D222">
            <v>22.55</v>
          </cell>
        </row>
        <row r="223">
          <cell r="A223">
            <v>7049</v>
          </cell>
          <cell r="B223" t="str">
            <v>ROLO COMPACTADOR VIBRATÓRIO PÉ DE CARNEIRO, POTÊNCIA 150HP, PESO OPERACIONAL 9,8 T, IMPACTO DINÂMICO 31,75 T - CHP</v>
          </cell>
          <cell r="C223" t="str">
            <v>CHP</v>
          </cell>
          <cell r="D223">
            <v>131.4</v>
          </cell>
        </row>
        <row r="224">
          <cell r="A224">
            <v>67826</v>
          </cell>
          <cell r="B224" t="str">
            <v>CAMINHAO BASCULANTE -4,0 M3 - 152CV - 8,5T (CHP)</v>
          </cell>
          <cell r="C224" t="str">
            <v>CHP</v>
          </cell>
          <cell r="D224">
            <v>125.19</v>
          </cell>
        </row>
        <row r="225">
          <cell r="A225">
            <v>73294</v>
          </cell>
          <cell r="B225" t="str">
            <v>BETONEIRA MOTOR GAS P/320L MIST SECA (CP) CARREG MEC E TAMBOR REVERSI-VEL - EXCL OPERADOR</v>
          </cell>
          <cell r="C225" t="str">
            <v>H</v>
          </cell>
          <cell r="D225">
            <v>6.62</v>
          </cell>
        </row>
        <row r="226">
          <cell r="A226">
            <v>73306</v>
          </cell>
          <cell r="B226" t="str">
            <v>CAMINHAO BASCULANTE (TOCO) 5 M3, MOTOR DIESEL, 132CV, COM MOTORISTA, CHP.</v>
          </cell>
          <cell r="C226" t="str">
            <v>H</v>
          </cell>
          <cell r="D226">
            <v>95.38</v>
          </cell>
        </row>
        <row r="227">
          <cell r="A227">
            <v>73318</v>
          </cell>
          <cell r="B227" t="str">
            <v>TRATOR CARREGADEIRA E RETRO-ESCAVADEIRA DIESEL 75CV (CP) INCL OPERADOR-CAPAC CACAMBA 0,76M3</v>
          </cell>
          <cell r="C227" t="str">
            <v>H</v>
          </cell>
          <cell r="D227">
            <v>104.18</v>
          </cell>
        </row>
        <row r="228">
          <cell r="A228">
            <v>73360</v>
          </cell>
          <cell r="B228" t="str">
            <v>AQUECEDOR DE FLUIDO TERMICO C/CALDEIRA - CHP</v>
          </cell>
          <cell r="C228" t="str">
            <v>CHP</v>
          </cell>
          <cell r="D228">
            <v>13.21</v>
          </cell>
        </row>
        <row r="229">
          <cell r="A229">
            <v>73408</v>
          </cell>
          <cell r="B229" t="str">
            <v>DISTRIBUIDOR DE AGREGADOS AUTOPROPELIDO, CAP 3 M3, A DIESEL, 6 CC, 140 CV, CHP</v>
          </cell>
          <cell r="C229" t="str">
            <v>CHP</v>
          </cell>
          <cell r="D229">
            <v>268.22000000000003</v>
          </cell>
        </row>
        <row r="230">
          <cell r="A230">
            <v>73412</v>
          </cell>
          <cell r="B230" t="str">
            <v>CUSTO HORARIO PRODUTIVO DIURNO - COMPRESSOR ATLAS COPCO - XA80 170 PCM 80 HP</v>
          </cell>
          <cell r="C230" t="str">
            <v>CHP</v>
          </cell>
          <cell r="D230">
            <v>62.24</v>
          </cell>
        </row>
        <row r="231">
          <cell r="A231">
            <v>73417</v>
          </cell>
          <cell r="B231" t="str">
            <v>GRUPO GERADOR 150 KVA- CHP</v>
          </cell>
          <cell r="C231" t="str">
            <v>CHP</v>
          </cell>
          <cell r="D231">
            <v>90.99</v>
          </cell>
        </row>
        <row r="232">
          <cell r="A232">
            <v>73436</v>
          </cell>
          <cell r="B232" t="str">
            <v>ROLO COMPACTADOR VIBRATORIO PE DE CARNEIRO PARA SOLOS, POTENCIA 80HP, PESO MÁXIMO OPERACIONAL 8,8T</v>
          </cell>
          <cell r="C232" t="str">
            <v>CHP</v>
          </cell>
          <cell r="D232">
            <v>169.91</v>
          </cell>
        </row>
        <row r="233">
          <cell r="A233">
            <v>73467</v>
          </cell>
          <cell r="B233" t="str">
            <v>CUSTO HORARIO PRODUTIVO DIURNO - CAMINHAO CARROCERIA MERCEDES BENZ -  1418/48 184 HP</v>
          </cell>
          <cell r="C233" t="str">
            <v>CHP</v>
          </cell>
          <cell r="D233">
            <v>129.91999999999999</v>
          </cell>
        </row>
        <row r="234">
          <cell r="A234">
            <v>73480</v>
          </cell>
          <cell r="B234" t="str">
            <v>CUSTO HORARIO PRODUTIVO - GUINDASTE MUNK 640/18 - 8T S/CAMINHAO MERCE-DES BENZ 1418/51 - 184 HP</v>
          </cell>
          <cell r="C234" t="str">
            <v>H</v>
          </cell>
          <cell r="D234">
            <v>111.87</v>
          </cell>
        </row>
        <row r="235">
          <cell r="A235">
            <v>73502</v>
          </cell>
          <cell r="B235" t="str">
            <v>CUSTO HORARIO PRODUTIVO DIURNO - GUINDASTE AUTOPROPELIDO MADAL -      MD 10A 45 HP</v>
          </cell>
          <cell r="C235" t="str">
            <v>CHP</v>
          </cell>
          <cell r="D235">
            <v>112.63</v>
          </cell>
        </row>
        <row r="236">
          <cell r="A236">
            <v>73536</v>
          </cell>
          <cell r="B236" t="str">
            <v>BOMBA C/MOTOR A GASOLINA AUTOESCORVANTE PARA AGUA SUJA - 3/4HP        CHP DIURNA</v>
          </cell>
          <cell r="C236" t="str">
            <v>CHP</v>
          </cell>
          <cell r="D236">
            <v>2.87</v>
          </cell>
        </row>
        <row r="237">
          <cell r="A237">
            <v>73538</v>
          </cell>
          <cell r="B237" t="str">
            <v>MAQUINA DE DEMARCAR FAIXAS AUTOPROP. - CHP</v>
          </cell>
          <cell r="C237" t="str">
            <v>CHP</v>
          </cell>
          <cell r="D237">
            <v>137.86000000000001</v>
          </cell>
        </row>
        <row r="238">
          <cell r="A238">
            <v>73583</v>
          </cell>
          <cell r="B238" t="str">
            <v>CUSTO HORARIO PRODUTIVO - MOTONIVELADORA CATERPILLAR 120G - 125 HP</v>
          </cell>
          <cell r="C238" t="str">
            <v>H</v>
          </cell>
          <cell r="D238">
            <v>155.15</v>
          </cell>
        </row>
        <row r="239">
          <cell r="A239">
            <v>73585</v>
          </cell>
          <cell r="B239" t="str">
            <v>CAMINHAO CARROCERIA FIXA FORD F-12000 12T / 142CV</v>
          </cell>
          <cell r="C239" t="str">
            <v>CHP</v>
          </cell>
          <cell r="D239">
            <v>115.31</v>
          </cell>
        </row>
        <row r="240">
          <cell r="A240">
            <v>73586</v>
          </cell>
          <cell r="B240" t="str">
            <v>CUSTO HORARIO PRODUTIVO DIURNO - TRATOR DE ESTEIRAS CATERPILLAR       D6D PS - 163 6A - 140 HP</v>
          </cell>
          <cell r="C240" t="str">
            <v>CHP</v>
          </cell>
          <cell r="D240">
            <v>188.45</v>
          </cell>
        </row>
        <row r="241">
          <cell r="A241" t="str">
            <v>74032/1</v>
          </cell>
          <cell r="B241" t="str">
            <v>ESCAVADEIRA HIDRAULICA SOBRE ESTEIRAS 110HP A DIESEL - CHP - INCLUSIVE OPERADOR</v>
          </cell>
          <cell r="C241" t="str">
            <v>CHP</v>
          </cell>
          <cell r="D241">
            <v>153.47</v>
          </cell>
        </row>
        <row r="242">
          <cell r="A242">
            <v>83353</v>
          </cell>
          <cell r="B242" t="str">
            <v>CHP - CAMINHAO BASCULANTE TRUCADO CARGA UTIL = 10 M3 - 15 T</v>
          </cell>
          <cell r="C242" t="str">
            <v>CHP</v>
          </cell>
          <cell r="D242">
            <v>146.31</v>
          </cell>
        </row>
        <row r="243">
          <cell r="A243">
            <v>83362</v>
          </cell>
          <cell r="B243" t="str">
            <v>CAMINHAO DISTRIBUIDOR DE ASFALTO - CHP</v>
          </cell>
          <cell r="C243" t="str">
            <v>CHP</v>
          </cell>
          <cell r="D243">
            <v>178.43</v>
          </cell>
        </row>
        <row r="244">
          <cell r="A244">
            <v>83759</v>
          </cell>
          <cell r="B244" t="str">
            <v>CHP-GUINDASTE MADAL MD-10A</v>
          </cell>
          <cell r="C244" t="str">
            <v>CHP</v>
          </cell>
          <cell r="D244">
            <v>147.76</v>
          </cell>
        </row>
        <row r="245">
          <cell r="A245">
            <v>83765</v>
          </cell>
          <cell r="B245" t="str">
            <v>CHP-GRUPO DE SOLDAGEM BAMBOZZI 375-A</v>
          </cell>
          <cell r="C245" t="str">
            <v>CHP</v>
          </cell>
          <cell r="D245">
            <v>45.04</v>
          </cell>
        </row>
        <row r="246">
          <cell r="A246">
            <v>83999</v>
          </cell>
          <cell r="B246" t="str">
            <v>CAMINHÃO TOCO, CARROCERIA FIXA ABERTA DE MADEIRA, MOTOR A DIESEL - CHP - COM MOTORISTA</v>
          </cell>
          <cell r="C246" t="str">
            <v>CHP</v>
          </cell>
          <cell r="D246">
            <v>96.08</v>
          </cell>
        </row>
        <row r="247">
          <cell r="A247">
            <v>84136</v>
          </cell>
          <cell r="B247" t="str">
            <v>USINA DE ASFALTO A FRIO ALMEIDA PMF - 35 DPD CAP/60/80 T/H 30 HP (ELETRICA)</v>
          </cell>
          <cell r="C247" t="str">
            <v>CHP</v>
          </cell>
          <cell r="D247">
            <v>83.65</v>
          </cell>
        </row>
        <row r="248">
          <cell r="A248">
            <v>84141</v>
          </cell>
          <cell r="B248" t="str">
            <v>CAMINHÃO TOCO VW 8120 EURO III 115 CV, CARROC. FIXA MADEIRA, PBT 7700 KG, C.UTIL + CARROC 4640 KG, COM MUNCK MADAL MD-6501 CARGA MAX 3,25T (A 2M) E 1,62T (A 4M)</v>
          </cell>
          <cell r="C248" t="str">
            <v>CHP</v>
          </cell>
          <cell r="D248">
            <v>101.37</v>
          </cell>
        </row>
        <row r="249">
          <cell r="A249">
            <v>5809</v>
          </cell>
          <cell r="B249" t="str">
            <v>USINA DE ASFALTO A QUENTE FIXA CAP.40/80 TON/H - CHP NOTURNO</v>
          </cell>
          <cell r="C249" t="str">
            <v>CHP-N</v>
          </cell>
          <cell r="D249">
            <v>459.42</v>
          </cell>
        </row>
        <row r="250">
          <cell r="A250">
            <v>5812</v>
          </cell>
          <cell r="B250" t="str">
            <v>CAMINHAO BASCULANTE, 6M3,12T - 162HP (VU=5ANOS) - CHP NOTURNO</v>
          </cell>
          <cell r="C250" t="str">
            <v>CHP-N</v>
          </cell>
          <cell r="D250">
            <v>120.48</v>
          </cell>
        </row>
        <row r="251">
          <cell r="A251">
            <v>5825</v>
          </cell>
          <cell r="B251" t="str">
            <v>CAMINHAO CARROCERIA ABERTA,EM MADEIRA, TOCO, 170CV - 11T (VU=6ANOS)  - CHP NOTURNO</v>
          </cell>
          <cell r="C251" t="str">
            <v>CHP-N</v>
          </cell>
          <cell r="D251">
            <v>108.94</v>
          </cell>
        </row>
        <row r="252">
          <cell r="A252">
            <v>5828</v>
          </cell>
          <cell r="B252" t="str">
            <v>USINA DE CONCRETO FIXA CAPACIDADE 90/120 M³, 63HP - CHP NOTURNO</v>
          </cell>
          <cell r="C252" t="str">
            <v>CHP-N</v>
          </cell>
          <cell r="D252">
            <v>104.38</v>
          </cell>
        </row>
        <row r="253">
          <cell r="A253">
            <v>5836</v>
          </cell>
          <cell r="B253" t="str">
            <v>VIBROACABADORA SOBRE ESTEIRAS POTENCIA MAX. 105CV CAPACIDADE ATE 450 T/H  - CHP NOTURNO</v>
          </cell>
          <cell r="C253" t="str">
            <v>CHP-N</v>
          </cell>
          <cell r="D253">
            <v>221.77</v>
          </cell>
        </row>
        <row r="254">
          <cell r="A254">
            <v>5844</v>
          </cell>
          <cell r="B254" t="str">
            <v>TRATOR DE PNEUS 110 A 126 HP - CHP NOTURNO</v>
          </cell>
          <cell r="C254" t="str">
            <v>CHP-N</v>
          </cell>
          <cell r="D254">
            <v>109.66</v>
          </cell>
        </row>
        <row r="255">
          <cell r="A255">
            <v>5848</v>
          </cell>
          <cell r="B255" t="str">
            <v>TRATOR DE ESTEIRAS POTENCIA 165 HP, PESO OPERACIONAL 17,1T - CHP NOTURNO</v>
          </cell>
          <cell r="C255" t="str">
            <v>CHP-N</v>
          </cell>
          <cell r="D255">
            <v>267.42</v>
          </cell>
        </row>
        <row r="256">
          <cell r="A256">
            <v>5852</v>
          </cell>
          <cell r="B256" t="str">
            <v>TRATOR DE ESTEIRAS 153HP PESO OPERACIONAL 15T, COM RODA MOTRIZ ELEVADA - CHP NOTURNO</v>
          </cell>
          <cell r="C256" t="str">
            <v>CHP-N</v>
          </cell>
          <cell r="D256">
            <v>268.56</v>
          </cell>
        </row>
        <row r="257">
          <cell r="A257">
            <v>5856</v>
          </cell>
          <cell r="B257" t="str">
            <v>TRATOR DE ESTEIRAS COM LAMINA - POTENCIA 305 HP - PESO OPERACIONAL 37 T - CHP NOTURNO</v>
          </cell>
          <cell r="C257" t="str">
            <v>CHP-N</v>
          </cell>
          <cell r="D257">
            <v>607.64</v>
          </cell>
        </row>
        <row r="258">
          <cell r="A258">
            <v>5860</v>
          </cell>
          <cell r="B258" t="str">
            <v>TRATOR DE ESTEIRAS 99HP, PESO OPERACIONAL 8,5T - CHP NOTURNO</v>
          </cell>
          <cell r="C258" t="str">
            <v>CHP-N</v>
          </cell>
          <cell r="D258">
            <v>156</v>
          </cell>
        </row>
        <row r="259">
          <cell r="A259">
            <v>5864</v>
          </cell>
          <cell r="B259" t="str">
            <v>ROLO COMPACTADOR VIBRATÓRIO REBOCÁVEL AÇO LISO, PESO 4,7T, IMPACTO DINÂMICO 18,3T - CHP NOTURNO</v>
          </cell>
          <cell r="C259" t="str">
            <v>CHP-N</v>
          </cell>
          <cell r="D259">
            <v>66.38</v>
          </cell>
        </row>
        <row r="260">
          <cell r="A260">
            <v>5868</v>
          </cell>
          <cell r="B260" t="str">
            <v>ROLO COMPACTADOR VIBRATÓRIO TANDEM AÇO LISO, POTÊNCIA 58CV, PESO SEM/COM LASTRO 6,5/9,4 T - CHP NOTURNO</v>
          </cell>
          <cell r="C260" t="str">
            <v>CHP-N</v>
          </cell>
          <cell r="D260">
            <v>88.41</v>
          </cell>
        </row>
        <row r="261">
          <cell r="A261">
            <v>5872</v>
          </cell>
          <cell r="B261" t="str">
            <v>ROLO COMPACTADOR DE PNEUS ESTÁTICO PARA ASFALTO, PRESSÃO VARIÁVEL, POTÊNCIA 99HP, PESO OPERACIONAL SEM/COM LASTRO 8,3/21,0 T - CHP NOTURNO</v>
          </cell>
          <cell r="C261" t="str">
            <v>CHP-N</v>
          </cell>
          <cell r="D261">
            <v>143.86000000000001</v>
          </cell>
        </row>
        <row r="262">
          <cell r="A262">
            <v>5876</v>
          </cell>
          <cell r="B262" t="str">
            <v>RETRO-ESCAVADEIRA, 74HP (VU = 6 ANOS) - CHP NOTURNO</v>
          </cell>
          <cell r="C262" t="str">
            <v>CHP-N</v>
          </cell>
          <cell r="D262">
            <v>96.14</v>
          </cell>
        </row>
        <row r="263">
          <cell r="A263">
            <v>5880</v>
          </cell>
          <cell r="B263" t="str">
            <v>ROLO COMPACTADOR VIBRATÓRIO PÉ DE CARNEIRO, OPERADO POR CONTROLE REMOTO, POTÊNCIA 17HP, PESO OPERACIONAL 1,65T - CHP NOTURNO</v>
          </cell>
          <cell r="C263" t="str">
            <v>CHP-N</v>
          </cell>
          <cell r="D263">
            <v>7.55</v>
          </cell>
        </row>
        <row r="264">
          <cell r="A264">
            <v>5883</v>
          </cell>
          <cell r="B264" t="str">
            <v>EQUIPAMENTO PARA LAMA ASFALTICA COM SILO DE AGREGADO 6M3, DOSADOR DE CIMENTO, A SER MONTADO SOBRE CAMINHÃO (NAO INCLUI O CAMINHAO) - CUSTO HORARIO PRODUTIVO NOTURNO</v>
          </cell>
          <cell r="C264" t="str">
            <v>CHP-N</v>
          </cell>
          <cell r="D264">
            <v>164.31</v>
          </cell>
        </row>
        <row r="265">
          <cell r="A265">
            <v>5891</v>
          </cell>
          <cell r="B265" t="str">
            <v>CAMINHAO TOCO, 177CV - 14T (VU=6ANOS) (NAO INCLUI CARROCERIA) - CUSTO HORARIO PRODUTIVO NOTURNO</v>
          </cell>
          <cell r="C265" t="str">
            <v>CHP-N</v>
          </cell>
          <cell r="D265">
            <v>116.22</v>
          </cell>
        </row>
        <row r="266">
          <cell r="A266">
            <v>5895</v>
          </cell>
          <cell r="B266" t="str">
            <v>CAMINHAO TOCO, 170CV - 11T (VU=6ANOS) (NAO INCLUI CARROCERIA) - CUSTO HORARIO PRODUTIVO NOTURNO</v>
          </cell>
          <cell r="C266" t="str">
            <v>CHP-N</v>
          </cell>
          <cell r="D266">
            <v>111.87</v>
          </cell>
        </row>
        <row r="267">
          <cell r="A267">
            <v>5898</v>
          </cell>
          <cell r="B267" t="str">
            <v>CAMINHAO PIPA 6000L TOCO, 162CV - 7,5T (VU=6ANOS) (INCLUI TANQUE DE ACO PARA TRANSPORTE DE AGUA E MOTOBOMBA CENTRIFUGA A GASOLINA 3,5CV) - CUSTO HORARIO PRODUTIVO NOTURNO</v>
          </cell>
          <cell r="C267" t="str">
            <v>CHP-N</v>
          </cell>
          <cell r="D267">
            <v>121.37</v>
          </cell>
        </row>
        <row r="268">
          <cell r="A268">
            <v>5902</v>
          </cell>
          <cell r="B268" t="str">
            <v>CAMINHAO PIPA 10000L TRUCADO, 208CV - 21,1T (VU=6ANOS) (INCLUI TANQUE DE ACO PARA TRANSPORTE DE AGUA E MOTOBOMBA CENTRIFUGA A GASOLINA 3,5CV) - CUSTO HORARIO PRODUTIVO NOTURNO</v>
          </cell>
          <cell r="C268" t="str">
            <v>CHP-N</v>
          </cell>
          <cell r="D268">
            <v>116.69</v>
          </cell>
        </row>
        <row r="269">
          <cell r="A269">
            <v>5906</v>
          </cell>
          <cell r="B269" t="str">
            <v>DISTRIBUIDOR DE AGREGADO TIPO DOSADOR REBOCAVEL  COM 4 PNEUS COM LARGURA 3,66 M - CHP NOTURNO</v>
          </cell>
          <cell r="C269" t="str">
            <v>CHP-N</v>
          </cell>
          <cell r="D269">
            <v>16.920000000000002</v>
          </cell>
        </row>
        <row r="270">
          <cell r="A270">
            <v>5910</v>
          </cell>
          <cell r="B270" t="str">
            <v>DISTRIBUIDOR DE BETUME COM TANQUE DE 2500L, REBOCAVEL, PNEUMATICO COM MOTOR A GASOLINA 3,4HP - CHP NOTURNO</v>
          </cell>
          <cell r="C270" t="str">
            <v>CHP-N</v>
          </cell>
          <cell r="D270">
            <v>61.81</v>
          </cell>
        </row>
        <row r="271">
          <cell r="A271">
            <v>5914</v>
          </cell>
          <cell r="B271" t="str">
            <v>DISTRIBUIDOR DE ASFALTO MONTADO SOBRE CAMINHAO TOCO 162 HP, COM TANQUE ISOLADO 6 M3 COM BARRA ESPARGIDORA DE 3,66 M - CHP NOTURNO</v>
          </cell>
          <cell r="C271" t="str">
            <v>CHP-N</v>
          </cell>
          <cell r="D271">
            <v>226.55</v>
          </cell>
        </row>
        <row r="272">
          <cell r="A272">
            <v>5925</v>
          </cell>
          <cell r="B272" t="str">
            <v>LANCA ELEVATORIA TELESCOPICA DE ACIONAMENTO HIDRAULICO, CAPACIDADE DE CARGA 30.000 KG, COM CESTO, MONTADA SOBRE CAMINHAO TRUCADO - CHP NOTURNO</v>
          </cell>
          <cell r="C272" t="str">
            <v>CHP-N</v>
          </cell>
          <cell r="D272">
            <v>404.75</v>
          </cell>
        </row>
        <row r="273">
          <cell r="A273">
            <v>5929</v>
          </cell>
          <cell r="B273" t="str">
            <v>GUINDASTE MUNK COM CESTO, CARGA MAXIMA 5,75T (A 2M) E 2,3T ( A 5M), ALTURA MAXIMA = 7,9M, MONTADO SOBRE CAMINHAO DE CARROCERIA 162HP  - CHP NOTURNO</v>
          </cell>
          <cell r="C273" t="str">
            <v>CHP-N</v>
          </cell>
          <cell r="D273">
            <v>124.31</v>
          </cell>
        </row>
        <row r="274">
          <cell r="A274">
            <v>5933</v>
          </cell>
          <cell r="B274" t="str">
            <v>MOTONIVELADORA 140HP (VU=6ANOS) - CHP NOTURNO</v>
          </cell>
          <cell r="C274" t="str">
            <v>CHP-N</v>
          </cell>
          <cell r="D274">
            <v>187.34</v>
          </cell>
        </row>
        <row r="275">
          <cell r="A275">
            <v>5941</v>
          </cell>
          <cell r="B275" t="str">
            <v>PA CARREGADEIRA SOBRE RODAS 105 HP - CAPACIDADE DA CACAMBA 1,4 A 1,7 M3 - PESO OPERACIONAL 9.100 KG - CHP NOTURNO</v>
          </cell>
          <cell r="C275" t="str">
            <v>CHP-N</v>
          </cell>
          <cell r="D275">
            <v>145.06</v>
          </cell>
        </row>
        <row r="276">
          <cell r="A276">
            <v>5945</v>
          </cell>
          <cell r="B276" t="str">
            <v>PA CARREGADEIRA SOBRE RODAS 180 HP - CAPACIDADE DA CACAMBA. 2,5 A 3,3 M3 - PESO OPERACIONAL 17.428 - CHP NOTURNO</v>
          </cell>
          <cell r="C276" t="str">
            <v>CHP-N</v>
          </cell>
          <cell r="D276">
            <v>244.84</v>
          </cell>
        </row>
        <row r="277">
          <cell r="A277">
            <v>5949</v>
          </cell>
          <cell r="B277" t="str">
            <v>ROLO COMPACTADOR VIBRATÓRIO DE UM CILINDRO AÇO LISO, POTÊNCIA 80HP, PESO OPERACIONAL 8,1T - CHP NOTURNO</v>
          </cell>
          <cell r="C277" t="str">
            <v>CHP-N</v>
          </cell>
          <cell r="D277">
            <v>99.72</v>
          </cell>
        </row>
        <row r="278">
          <cell r="A278">
            <v>5957</v>
          </cell>
          <cell r="B278" t="str">
            <v>COMPACTADOR DE SOLOS COM PLACA VIBRATORIA, 46X51CM, 5HP, 156KG, DIESEL, IMPACTO DINAMICO 1700KG - CUSTO HORARIO PRODUTIVO DIURNO</v>
          </cell>
          <cell r="C278" t="str">
            <v>CHP</v>
          </cell>
          <cell r="D278">
            <v>17.059999999999999</v>
          </cell>
        </row>
        <row r="279">
          <cell r="A279">
            <v>5958</v>
          </cell>
          <cell r="B279" t="str">
            <v>COMPACTADOR DE SOLOS COM PLACA VIBRATORIA, 46X51CM, 5HP, 156KG, DIESEL, IMPACTO DINAMICO 1700KG - CUSTO HORARIO PRODUTIVO NOTURNO</v>
          </cell>
          <cell r="C279" t="str">
            <v>CHP-N</v>
          </cell>
          <cell r="D279">
            <v>18.89</v>
          </cell>
        </row>
        <row r="280">
          <cell r="A280">
            <v>5632</v>
          </cell>
          <cell r="B280" t="str">
            <v>ESCAVADEIRA HIDRAULICA SOBRE ESTEIRA 105HP, PESO OPERACIONAL 17T, CAP. 0,8M3  - CHI DIURNO</v>
          </cell>
          <cell r="C280" t="str">
            <v>CHI</v>
          </cell>
          <cell r="D280">
            <v>68.53</v>
          </cell>
        </row>
        <row r="281">
          <cell r="A281">
            <v>5679</v>
          </cell>
          <cell r="B281" t="str">
            <v>RETRO-ESCAVADEIRA, 4 X 4, 86 CV (VU= 5 ANOS) - CHI DIURNO</v>
          </cell>
          <cell r="C281" t="str">
            <v>CHI</v>
          </cell>
          <cell r="D281">
            <v>44.61</v>
          </cell>
        </row>
        <row r="282">
          <cell r="A282">
            <v>5681</v>
          </cell>
          <cell r="B282" t="str">
            <v>RETRO-ESCAVADEIRA, 75CV (VU= 5 ANOS) -CHI DIURNO</v>
          </cell>
          <cell r="C282" t="str">
            <v>CHI</v>
          </cell>
          <cell r="D282">
            <v>42.51</v>
          </cell>
        </row>
        <row r="283">
          <cell r="A283">
            <v>5683</v>
          </cell>
          <cell r="B283" t="str">
            <v>ROLO COMPACTADOR VIBRATÓRIO DE CILINDRO LISO, AUTO-PROPEL. DE AÇO, 80HP - 8,1T - CHI DIURNO</v>
          </cell>
          <cell r="C283" t="str">
            <v>CHI</v>
          </cell>
          <cell r="D283">
            <v>44.31</v>
          </cell>
        </row>
        <row r="284">
          <cell r="A284">
            <v>5685</v>
          </cell>
          <cell r="B284" t="str">
            <v>ROLO COMPACTADOR VIBRATÓRIO DE CILINDRO LISO,  83 HP -  6,6T, IMPACTO DINÂMICO 18,5/11,5T - CHI.</v>
          </cell>
          <cell r="C284" t="str">
            <v>CHI</v>
          </cell>
          <cell r="D284">
            <v>26.57</v>
          </cell>
        </row>
        <row r="285">
          <cell r="A285">
            <v>5690</v>
          </cell>
          <cell r="B285" t="str">
            <v>GRADE ARADORA COM 24 DISCOS DE 24  SOBRE PNEUS - CHI DIURNO</v>
          </cell>
          <cell r="C285" t="str">
            <v>CHI</v>
          </cell>
          <cell r="D285">
            <v>3.9</v>
          </cell>
        </row>
        <row r="286">
          <cell r="A286">
            <v>5806</v>
          </cell>
          <cell r="B286" t="str">
            <v>BOMBA C/MOTOR A GASOLINA AUTOESCORVANTE P/AGUA SUJA 3/4HP -CHI DIURNA</v>
          </cell>
          <cell r="C286" t="str">
            <v>CHI</v>
          </cell>
          <cell r="D286">
            <v>0.33</v>
          </cell>
        </row>
        <row r="287">
          <cell r="A287">
            <v>5826</v>
          </cell>
          <cell r="B287" t="str">
            <v>CAMINHAO CARROCERIA ABERTA,EM MADEIRA, TOCO, 170CV - 11T (VU=6ANOS) - CHI DIURNO</v>
          </cell>
          <cell r="C287" t="str">
            <v>CHI</v>
          </cell>
          <cell r="D287">
            <v>37.479999999999997</v>
          </cell>
        </row>
        <row r="288">
          <cell r="A288">
            <v>5829</v>
          </cell>
          <cell r="B288" t="str">
            <v>USINA DE CONCRETO FIXA CAPACIDADE 90/120 M³, 63HP - CHI DIURNO</v>
          </cell>
          <cell r="C288" t="str">
            <v>CHI</v>
          </cell>
          <cell r="D288">
            <v>61.66</v>
          </cell>
        </row>
        <row r="289">
          <cell r="A289">
            <v>5837</v>
          </cell>
          <cell r="B289" t="str">
            <v>VIBROACABADORA SOBRE ESTEIRAS POTENCIA MAX. 105CV CAPACIDADE ATE 450 T/H  - CHI DIURNO</v>
          </cell>
          <cell r="C289" t="str">
            <v>CHI</v>
          </cell>
          <cell r="D289">
            <v>126.96</v>
          </cell>
        </row>
        <row r="290">
          <cell r="A290">
            <v>5841</v>
          </cell>
          <cell r="B290" t="str">
            <v>VASSOURA MECÂNICA REBOCÁVEL C/ ESCOVA CILÍNDRICA LARGURA = 2,44M - CHI DIURNO</v>
          </cell>
          <cell r="C290" t="str">
            <v>CHI</v>
          </cell>
          <cell r="D290">
            <v>5.24</v>
          </cell>
        </row>
        <row r="291">
          <cell r="A291">
            <v>5845</v>
          </cell>
          <cell r="B291" t="str">
            <v>TRATOR DE PNEUS 110 A 126 HP - CHI DIURNO</v>
          </cell>
          <cell r="C291" t="str">
            <v>CHI</v>
          </cell>
          <cell r="D291">
            <v>44.52</v>
          </cell>
        </row>
        <row r="292">
          <cell r="A292">
            <v>5849</v>
          </cell>
          <cell r="B292" t="str">
            <v>TRATOR DE ESTEIRAS POTENCIA 165 HP, PESO OPERACIONAL 17,1T - CHI DIURNO</v>
          </cell>
          <cell r="C292" t="str">
            <v>CHI</v>
          </cell>
          <cell r="D292">
            <v>114.8</v>
          </cell>
        </row>
        <row r="293">
          <cell r="A293">
            <v>5853</v>
          </cell>
          <cell r="B293" t="str">
            <v>TRATOR DE ESTEIRAS 153HP PESO OPERACIONAL 15T, COM RODA MOTRIZ ELEVADA  - CHI DIURNO</v>
          </cell>
          <cell r="C293" t="str">
            <v>CHI</v>
          </cell>
          <cell r="D293">
            <v>118.13</v>
          </cell>
        </row>
        <row r="294">
          <cell r="A294">
            <v>5857</v>
          </cell>
          <cell r="B294" t="str">
            <v>TRATOR DE ESTEIRAS COM LAMINA - POTENCIA 305 HP - PESO OPERACIONAL 37 T - CHI DIURNO</v>
          </cell>
          <cell r="C294" t="str">
            <v>CHI</v>
          </cell>
          <cell r="D294">
            <v>270.69</v>
          </cell>
        </row>
        <row r="295">
          <cell r="A295">
            <v>5861</v>
          </cell>
          <cell r="B295" t="str">
            <v>TRATOR DE ESTEIRAS 99HP, PESO OPERACIONAL 8,5T - CHI DIURNO</v>
          </cell>
          <cell r="C295" t="str">
            <v>CHI</v>
          </cell>
          <cell r="D295">
            <v>73.459999999999994</v>
          </cell>
        </row>
        <row r="296">
          <cell r="A296">
            <v>5865</v>
          </cell>
          <cell r="B296" t="str">
            <v>ROLO COMPACTADOR VIBRATÓRIO REBOCÁVEL AÇO LISO, PESO 4,7T, IMPACTO DINÂMICO 18,3T - CHI DIURNO</v>
          </cell>
          <cell r="C296" t="str">
            <v>CHI</v>
          </cell>
          <cell r="D296">
            <v>24.92</v>
          </cell>
        </row>
        <row r="297">
          <cell r="A297">
            <v>5869</v>
          </cell>
          <cell r="B297" t="str">
            <v>ROLO COMPACTADOR VIBRATÓRIO TANDEM AÇO LISO, POTÊNCIA 58CV, PESO SEM/COM LASTRO 6,5/9,4 T - CHI DIURNO</v>
          </cell>
          <cell r="C297" t="str">
            <v>CHI</v>
          </cell>
          <cell r="D297">
            <v>37.369999999999997</v>
          </cell>
        </row>
        <row r="298">
          <cell r="A298">
            <v>5873</v>
          </cell>
          <cell r="B298" t="str">
            <v>ROLO COMPACTADOR DE PNEUS ESTÁTICO PARA ASFALTO, PRESSÃO VARIÁVEL, POTÊNCIA 99HP, PESO OPERACIONAL SEM/COM LASTRO 8,3/21,0 T - CHI DIURNO</v>
          </cell>
          <cell r="C298" t="str">
            <v>CHI</v>
          </cell>
          <cell r="D298">
            <v>54.04</v>
          </cell>
        </row>
        <row r="299">
          <cell r="A299">
            <v>5877</v>
          </cell>
          <cell r="B299" t="str">
            <v>RETRO-ESCAVADEIRA, 74HP (VU = 6 ANOS) - CHI DIURNO</v>
          </cell>
          <cell r="C299" t="str">
            <v>CHI</v>
          </cell>
          <cell r="D299">
            <v>40.81</v>
          </cell>
        </row>
        <row r="300">
          <cell r="A300">
            <v>5881</v>
          </cell>
          <cell r="B300" t="str">
            <v>ROLO COMPACTADOR VIBRATÓRIO PÉ DE CARNEIRO, OPERADO POR CONTROLE REMOTO, POTÊNCIA 17HP, PESO OPERACIONAL 1,65T - CHI</v>
          </cell>
          <cell r="C300" t="str">
            <v>CHI</v>
          </cell>
          <cell r="D300">
            <v>5.66</v>
          </cell>
        </row>
        <row r="301">
          <cell r="A301">
            <v>5884</v>
          </cell>
          <cell r="B301" t="str">
            <v>EQUIPAMENTO PARA LAMA ASFALTICA COM SILO DE AGREGADO 6M3, DOSADOR DE CIMENTO, A SER MONTADO SOBRE CAMINHÃO (NAO INCLUI O CAMINHAO) - CUSTO HORARIO IMPRODUTIVO DIURNO</v>
          </cell>
          <cell r="C301" t="str">
            <v>CHI</v>
          </cell>
          <cell r="D301">
            <v>75.150000000000006</v>
          </cell>
        </row>
        <row r="302">
          <cell r="A302">
            <v>5888</v>
          </cell>
          <cell r="B302" t="str">
            <v>CAMINHAO PIPA FORD F12000 6000L 162CV C/BOMBA GASOLINA - CHI DIURNO</v>
          </cell>
          <cell r="C302" t="str">
            <v>CHI</v>
          </cell>
          <cell r="D302">
            <v>40.58</v>
          </cell>
        </row>
        <row r="303">
          <cell r="A303">
            <v>5892</v>
          </cell>
          <cell r="B303" t="str">
            <v>CAMINHAO TOCO, 177CV - 14T (VU=6ANOS) (NAO INCLUI CARROCERIA) - CUSTO HORARIO IMPRODUTIVO DIURNO</v>
          </cell>
          <cell r="C303" t="str">
            <v>CHI</v>
          </cell>
          <cell r="D303">
            <v>37</v>
          </cell>
        </row>
        <row r="304">
          <cell r="A304">
            <v>5896</v>
          </cell>
          <cell r="B304" t="str">
            <v>CAMINHAO TOCO, 170CV - 11T (VU=6ANOS) (NAO INCLUI CARROCERIA) - CUSTO HORARIO IMPRODUTIVO DIURNO</v>
          </cell>
          <cell r="C304" t="str">
            <v>CHI</v>
          </cell>
          <cell r="D304">
            <v>36.630000000000003</v>
          </cell>
        </row>
        <row r="305">
          <cell r="A305">
            <v>5903</v>
          </cell>
          <cell r="B305" t="str">
            <v>CAMINHAO PIPA 10000L TRUCADO, 208CV - 21,1T (VU=6ANOS) (INCLUI TANQUE DE ACO PARA TRANSPORTE DE AGUA E MOTOBOMBA CENTRIFUGA A GASOLINA 3,5CV) - CUSTO HORARIO IMPRODUTIVO DIURNO</v>
          </cell>
          <cell r="C305" t="str">
            <v>CHI</v>
          </cell>
          <cell r="D305">
            <v>39.68</v>
          </cell>
        </row>
        <row r="306">
          <cell r="A306">
            <v>5907</v>
          </cell>
          <cell r="B306" t="str">
            <v>DISTRIBUIDOR DE AGREGADO TIPO DOSADOR REBOCAVEL  COM 4 PNEUS COM LARGURA 3,66 M - CHI DIURNO</v>
          </cell>
          <cell r="C306" t="str">
            <v>CHI</v>
          </cell>
          <cell r="D306">
            <v>12.42</v>
          </cell>
        </row>
        <row r="307">
          <cell r="A307">
            <v>5911</v>
          </cell>
          <cell r="B307" t="str">
            <v>DISTRIBUIDOR DE BETUME COM TANQUE DE 2500L, REBOCAVEL, PNEUMATICO COM MOTOR A GASOLINA 3,4HP - CHI DIURNO</v>
          </cell>
          <cell r="C307" t="str">
            <v>CHI</v>
          </cell>
          <cell r="D307">
            <v>14.57</v>
          </cell>
        </row>
        <row r="308">
          <cell r="A308">
            <v>5915</v>
          </cell>
          <cell r="B308" t="str">
            <v>DISTRIBUIDOR DE ASFALTO MONTADO SOBRE CAMINHAO TOCO 162 HP, COM TANQUE ISOLADO 6 M3 COM BARRA ESPARGIDORA DE 3,66 M - CHI DIURNO</v>
          </cell>
          <cell r="C308" t="str">
            <v>CHI</v>
          </cell>
          <cell r="D308">
            <v>93.72</v>
          </cell>
        </row>
        <row r="309">
          <cell r="A309">
            <v>5923</v>
          </cell>
          <cell r="B309" t="str">
            <v>GRADE ARADORA DE DISCO REBOCÁVEL 20X24 COM 20 DISCOS DIAM 24X6MM COM PNEUS PARA TRANSPORTE - CHI DIURNO. AF_01/2014</v>
          </cell>
          <cell r="C309" t="str">
            <v>CHI</v>
          </cell>
          <cell r="D309">
            <v>1.75</v>
          </cell>
        </row>
        <row r="310">
          <cell r="A310">
            <v>5926</v>
          </cell>
          <cell r="B310" t="str">
            <v>LANCA ELEVATORIA TELESCOPICA DE ACIONAMENTO HIDRAULICO, CAPACIDADE DE CARGA 30.000 KG, COM CESTO, MONTADA SOBRE CAMINHAO TRUCADO - CHI DIURNO</v>
          </cell>
          <cell r="C310" t="str">
            <v>CHI</v>
          </cell>
          <cell r="D310">
            <v>234.13</v>
          </cell>
        </row>
        <row r="311">
          <cell r="A311">
            <v>5930</v>
          </cell>
          <cell r="B311" t="str">
            <v>GUINDASTE MUNK COM CESTO, CARGA MAXIMA 5,75T (A 2M) E 2,3T ( A 5M), ALT URA MAXIMA = 7,9M, MONTADO SOBRE CAMINHAO DE CARROCERIA 162HP - CHI DIURNO</v>
          </cell>
          <cell r="C311" t="str">
            <v>CHI</v>
          </cell>
          <cell r="D311">
            <v>45.06</v>
          </cell>
        </row>
        <row r="312">
          <cell r="A312">
            <v>5934</v>
          </cell>
          <cell r="B312" t="str">
            <v>MOTONIVELADORA 140HP (VU=6ANOS) - CHI DIURNO</v>
          </cell>
          <cell r="C312" t="str">
            <v>CHI</v>
          </cell>
          <cell r="D312">
            <v>81.72</v>
          </cell>
        </row>
        <row r="313">
          <cell r="A313">
            <v>5942</v>
          </cell>
          <cell r="B313" t="str">
            <v>PA CARREGADEIRA SOBRE RODAS 105 HP - CAPACIDADE DA CACAMBA 1,4 A 1,7 M3 - PESO OPERACIONAL 9.100 KG - CHI DIURNO</v>
          </cell>
          <cell r="C313" t="str">
            <v>CHI</v>
          </cell>
          <cell r="D313">
            <v>61.81</v>
          </cell>
        </row>
        <row r="314">
          <cell r="A314">
            <v>5946</v>
          </cell>
          <cell r="B314" t="str">
            <v>PA CARREGADEIRA SOBRE RODAS 180 HP - CAPACIDADE DA CACAMBA. 2,5 A 3,3 M3 - PESO OPERACIONAL 17.428 - CHI DIURNO</v>
          </cell>
          <cell r="C314" t="str">
            <v>CHI</v>
          </cell>
          <cell r="D314">
            <v>100</v>
          </cell>
        </row>
        <row r="315">
          <cell r="A315">
            <v>5952</v>
          </cell>
          <cell r="B315" t="str">
            <v>MARTELETE OU ROMPEDOR PNEUMÁTICO MANUAL 28KG, FREQUENCIA DE IMPACTO 1230/MINUTO - CHI DIURNO</v>
          </cell>
          <cell r="C315" t="str">
            <v>CHI</v>
          </cell>
          <cell r="D315">
            <v>10.33</v>
          </cell>
        </row>
        <row r="316">
          <cell r="A316">
            <v>5954</v>
          </cell>
          <cell r="B316" t="str">
            <v>COMPRESSOR DE AR REBOCAVEL, DESCARGA LIVRE EFETIVA 180PCM, PRESSAO DE TRABALHO 102 PSI, MOTOR A DIESEL 89CV - CUSTO HORARIO IMPRODUTIVO DIURNO</v>
          </cell>
          <cell r="C316" t="str">
            <v>CHI</v>
          </cell>
          <cell r="D316">
            <v>21.39</v>
          </cell>
        </row>
        <row r="317">
          <cell r="A317">
            <v>5959</v>
          </cell>
          <cell r="B317" t="str">
            <v>COMPACTADOR DE SOLOS COM PLACA VIBRATORIA, 46X51CM, 5HP, 156KG, DIESEL, IMPACTO DINAMICO 1700KG - CUSTO HORARIO IMPRODUTIVO DIURNO</v>
          </cell>
          <cell r="C317" t="str">
            <v>CHI</v>
          </cell>
          <cell r="D317">
            <v>13.48</v>
          </cell>
        </row>
        <row r="318">
          <cell r="A318">
            <v>5961</v>
          </cell>
          <cell r="B318" t="str">
            <v>CAMINHAO BASCULANTE, 162HP, 6M3 - 12T (VU=5ANOS) - CHI DIURNO</v>
          </cell>
          <cell r="C318" t="str">
            <v>CHI</v>
          </cell>
          <cell r="D318">
            <v>36.979999999999997</v>
          </cell>
        </row>
        <row r="319">
          <cell r="A319">
            <v>5965</v>
          </cell>
          <cell r="B319" t="str">
            <v>TANQUE ESTACIONARIO TAA -MACARICO CAP 20 000 L - CHI DIURNO</v>
          </cell>
          <cell r="C319" t="str">
            <v>CHI</v>
          </cell>
          <cell r="D319">
            <v>8.76</v>
          </cell>
        </row>
        <row r="320">
          <cell r="A320">
            <v>6156</v>
          </cell>
          <cell r="B320" t="str">
            <v>CAMINHAO BASCULANTE 4,0M3 TOCO 162CV PBT=11800KG - CHI DIURNO</v>
          </cell>
          <cell r="C320" t="str">
            <v>CHI</v>
          </cell>
          <cell r="D320">
            <v>36.71</v>
          </cell>
        </row>
        <row r="321">
          <cell r="A321">
            <v>6239</v>
          </cell>
          <cell r="B321" t="str">
            <v>TRATOR DE ESTEIRAS COM LAMINA - POTENCIA 305 HP - PESO OPERACIONAL 37 T (VU=10ANOS)  -CHI DIURNO</v>
          </cell>
          <cell r="C321" t="str">
            <v>CHI</v>
          </cell>
          <cell r="D321">
            <v>187.79</v>
          </cell>
        </row>
        <row r="322">
          <cell r="A322">
            <v>6243</v>
          </cell>
          <cell r="B322" t="str">
            <v>PA CARREGADEIRA SOBRE RODAS 180 HP - CAPACIDADE DA CACAMBA. 2,5 A 3,3 M3 - PESO OPERACIONAL 17.428  - CHI DIURNO</v>
          </cell>
          <cell r="C322" t="str">
            <v>CHI</v>
          </cell>
          <cell r="D322">
            <v>80.69</v>
          </cell>
        </row>
        <row r="323">
          <cell r="A323">
            <v>6247</v>
          </cell>
          <cell r="B323" t="str">
            <v>MOTONIVELADORA CATERPILLAR 140HP (VU=8ANOS/16.000H) - CHI DIURNO</v>
          </cell>
          <cell r="C323" t="str">
            <v>CHI</v>
          </cell>
          <cell r="D323">
            <v>73.97</v>
          </cell>
        </row>
        <row r="324">
          <cell r="A324">
            <v>6257</v>
          </cell>
          <cell r="B324" t="str">
            <v>CAMINHAO BASCULANTE 204CV (VU=7ANOS/14.000H) - CHI DIURNO</v>
          </cell>
          <cell r="C324" t="str">
            <v>CHI</v>
          </cell>
          <cell r="D324">
            <v>42.7</v>
          </cell>
        </row>
        <row r="325">
          <cell r="A325">
            <v>6260</v>
          </cell>
          <cell r="B325" t="str">
            <v>CAMINHAO PIPA 6000L TOCO, 162CV - 7,5T (VU=6ANOS) (INCLUI TANQUE DE ACO PARA TRANSPORTE DE AGUA) - CUSTO HORARIO IMPRODUTIVO DIURNO</v>
          </cell>
          <cell r="C325" t="str">
            <v>CHI</v>
          </cell>
          <cell r="D325">
            <v>34.85</v>
          </cell>
        </row>
        <row r="326">
          <cell r="A326">
            <v>6389</v>
          </cell>
          <cell r="B326" t="str">
            <v>MAQUINA SOLDA ARCO 375A DIESEL 33CV CHI DIURNO EXCLUSIVE OPERADOR</v>
          </cell>
          <cell r="C326" t="str">
            <v>H</v>
          </cell>
          <cell r="D326">
            <v>10.36</v>
          </cell>
        </row>
        <row r="327">
          <cell r="A327">
            <v>6880</v>
          </cell>
          <cell r="B327" t="str">
            <v>ROLO COMPACTADOR DE PNEUS ESTATICO, PRESSAO VARIAVEL, POTENCIA 111HP - PESO SEM/COM LASTRO 9,5/22,4T - CHI</v>
          </cell>
          <cell r="C327" t="str">
            <v>CHI</v>
          </cell>
          <cell r="D327">
            <v>87.23</v>
          </cell>
        </row>
        <row r="328">
          <cell r="A328">
            <v>7023</v>
          </cell>
          <cell r="B328" t="str">
            <v>DISTRIBUIDOR DE BETUME 6000L 56CV SOB PRESSAO MONTADO SOBRE CHASSIS DE CAMINHÃO - CHI</v>
          </cell>
          <cell r="C328" t="str">
            <v>CHI</v>
          </cell>
          <cell r="D328">
            <v>42.73</v>
          </cell>
        </row>
        <row r="329">
          <cell r="A329">
            <v>7025</v>
          </cell>
          <cell r="B329" t="str">
            <v>ROLO COMPACTADOR DE PNEUS 111HP 11TON - CHI</v>
          </cell>
          <cell r="C329" t="str">
            <v>CHI</v>
          </cell>
          <cell r="D329">
            <v>53.13</v>
          </cell>
        </row>
        <row r="330">
          <cell r="A330">
            <v>7031</v>
          </cell>
          <cell r="B330" t="str">
            <v>TANQUE ESTACINARIO TAA COM SERPENTINA E CAPACIDADE PARA 30.000L - CHI</v>
          </cell>
          <cell r="C330" t="str">
            <v>CHI</v>
          </cell>
          <cell r="D330">
            <v>9.5</v>
          </cell>
        </row>
        <row r="331">
          <cell r="A331">
            <v>7037</v>
          </cell>
          <cell r="B331" t="str">
            <v>ROLO COMPACTADOR DE PNEUS ESTÁTICO PRESSÃO VARIÁVEL AUTO-PROPELIDO, POTÊNCIA 111HP, PESO OPERACIONAL SEM/COM LASTRO 8/23 T - CHI</v>
          </cell>
          <cell r="C331" t="str">
            <v>CHI</v>
          </cell>
          <cell r="D331">
            <v>53.13</v>
          </cell>
        </row>
        <row r="332">
          <cell r="A332">
            <v>7043</v>
          </cell>
          <cell r="B332" t="str">
            <v>CONJUNTO MOTOR-BOMBA DIESEL PARA DRENAGEM DE AGUA SUJA - 6HP - CHI</v>
          </cell>
          <cell r="C332" t="str">
            <v>CHI</v>
          </cell>
          <cell r="D332">
            <v>18.329999999999998</v>
          </cell>
        </row>
        <row r="333">
          <cell r="A333">
            <v>7050</v>
          </cell>
          <cell r="B333" t="str">
            <v>ROLO COMPACTADOR AUTOPROPELIDO 127HP 10260KG - CHI</v>
          </cell>
          <cell r="C333" t="str">
            <v>CHI</v>
          </cell>
          <cell r="D333">
            <v>51.5</v>
          </cell>
        </row>
        <row r="334">
          <cell r="A334">
            <v>67827</v>
          </cell>
          <cell r="B334" t="str">
            <v>CAMINHAO TOCO BASCULANTE 152CV, 4M3, 8,5T (CHI)</v>
          </cell>
          <cell r="C334" t="str">
            <v>CHI</v>
          </cell>
          <cell r="D334">
            <v>42.08</v>
          </cell>
        </row>
        <row r="335">
          <cell r="A335">
            <v>73295</v>
          </cell>
          <cell r="B335" t="str">
            <v>BETONEIRA MOTOR GAS P/320L MIST SECA (CI) CARREG MEC E TAMBOR REVERSI-VEL - EXCL OPERADOR</v>
          </cell>
          <cell r="C335" t="str">
            <v>H</v>
          </cell>
          <cell r="D335">
            <v>1.1599999999999999</v>
          </cell>
        </row>
        <row r="336">
          <cell r="A336">
            <v>73320</v>
          </cell>
          <cell r="B336" t="str">
            <v>TRATOR CARREGADEIRA E RETRO-ESCAVADEIRA DIESEL 75CV (CI) INCL OPERADOR-CAPAC CACAMBA 0,76M3</v>
          </cell>
          <cell r="C336" t="str">
            <v>H</v>
          </cell>
          <cell r="D336">
            <v>43.44</v>
          </cell>
        </row>
        <row r="337">
          <cell r="A337">
            <v>73326</v>
          </cell>
          <cell r="B337" t="str">
            <v>CAMINHAO BASCULANTE (TOCO), 5 M3, MOTOR DIESEL, 132CV, COM MOTORISTA,  (CHI).</v>
          </cell>
          <cell r="C337" t="str">
            <v>H</v>
          </cell>
          <cell r="D337">
            <v>36.590000000000003</v>
          </cell>
        </row>
        <row r="338">
          <cell r="A338">
            <v>73395</v>
          </cell>
          <cell r="B338" t="str">
            <v>GRUPO GERADOR 150 KVA- CHI</v>
          </cell>
          <cell r="C338" t="str">
            <v>CHI</v>
          </cell>
          <cell r="D338">
            <v>5.22</v>
          </cell>
        </row>
        <row r="339">
          <cell r="A339">
            <v>73472</v>
          </cell>
          <cell r="B339" t="str">
            <v>CUSTO HORARIO IMPRODUTIVO DIURNO - COMPRESSOR ATLAS COPCO - XA80 170  PCM 80 HP</v>
          </cell>
          <cell r="C339" t="str">
            <v>CHI</v>
          </cell>
          <cell r="D339">
            <v>22.46</v>
          </cell>
        </row>
        <row r="340">
          <cell r="A340">
            <v>83760</v>
          </cell>
          <cell r="B340" t="str">
            <v>CHI-GUINDASTE MADAL MD-10A</v>
          </cell>
          <cell r="C340" t="str">
            <v>CHI</v>
          </cell>
          <cell r="D340">
            <v>73.84</v>
          </cell>
        </row>
        <row r="341">
          <cell r="A341">
            <v>83766</v>
          </cell>
          <cell r="B341" t="str">
            <v>CHI-GRUPO DE SOLDAGEM BAMBOZZI 375-A</v>
          </cell>
          <cell r="C341" t="str">
            <v>CHI</v>
          </cell>
          <cell r="D341">
            <v>28.78</v>
          </cell>
        </row>
        <row r="342">
          <cell r="A342">
            <v>83998</v>
          </cell>
          <cell r="B342" t="str">
            <v>CAMINHÃO TOCO, CARROCERIA FIXA ABERTA MADEIRA, MOTOR DIESEL - CHI - COM MOTORISTA</v>
          </cell>
          <cell r="C342" t="str">
            <v>CHI</v>
          </cell>
          <cell r="D342">
            <v>38.700000000000003</v>
          </cell>
        </row>
        <row r="343">
          <cell r="A343">
            <v>84013</v>
          </cell>
          <cell r="B343" t="str">
            <v>ESCAVADEIRA HIDRAULICA SOBRE ESTEIRAS 110HP A DIESEL - CHI - INCLUISVE OPERADOR</v>
          </cell>
          <cell r="C343" t="str">
            <v>CHI</v>
          </cell>
          <cell r="D343">
            <v>66.12</v>
          </cell>
        </row>
        <row r="344">
          <cell r="A344">
            <v>5822</v>
          </cell>
          <cell r="B344" t="str">
            <v>CAMINHAO BASCULANTE,  6M3, 12T - 162HP (VU=5ANOS) - CHI NOTURNO</v>
          </cell>
          <cell r="C344" t="str">
            <v>CHI-N</v>
          </cell>
          <cell r="D344">
            <v>39.76</v>
          </cell>
        </row>
        <row r="345">
          <cell r="A345">
            <v>5827</v>
          </cell>
          <cell r="B345" t="str">
            <v>CAMINHAO CARROCERIA ABERTA,EM MADEIRA, TOCO, 170CV - 11T (VU=6ANOS) - CHI NOTURNO</v>
          </cell>
          <cell r="C345" t="str">
            <v>CHI-N</v>
          </cell>
          <cell r="D345">
            <v>36.700000000000003</v>
          </cell>
        </row>
        <row r="346">
          <cell r="A346">
            <v>5830</v>
          </cell>
          <cell r="B346" t="str">
            <v>USINA DE CONCRETO FIXA CAPACIDADE 90/120 M³, 63HP - CHI NOTURNO</v>
          </cell>
          <cell r="C346" t="str">
            <v>CHI-N</v>
          </cell>
          <cell r="D346">
            <v>68.989999999999995</v>
          </cell>
        </row>
        <row r="347">
          <cell r="A347">
            <v>5834</v>
          </cell>
          <cell r="B347" t="str">
            <v>USINA MISTURADORA DE SOLOS, DOSADORES TRIPLOS, CALHA VIBRATÓRIA, CAPCIDADE 200/500 TON, 201HP - CHI NOTURNO</v>
          </cell>
          <cell r="C347" t="str">
            <v>CHI-N</v>
          </cell>
          <cell r="D347">
            <v>216.03</v>
          </cell>
        </row>
        <row r="348">
          <cell r="A348">
            <v>5838</v>
          </cell>
          <cell r="B348" t="str">
            <v>VIBROACABADORA SOBRE ESTEIRAS POTENCIA MAX. 105CV CAPACIDADE ATE 450 T/H  - CHI NOTURNO</v>
          </cell>
          <cell r="C348" t="str">
            <v>CHI-N</v>
          </cell>
          <cell r="D348">
            <v>130.37</v>
          </cell>
        </row>
        <row r="349">
          <cell r="A349">
            <v>5846</v>
          </cell>
          <cell r="B349" t="str">
            <v>TRATOR DE PNEUS 110 A 126 HP - CHI NOTURNO</v>
          </cell>
          <cell r="C349" t="str">
            <v>CHI-N</v>
          </cell>
          <cell r="D349">
            <v>35.28</v>
          </cell>
        </row>
        <row r="350">
          <cell r="A350">
            <v>5850</v>
          </cell>
          <cell r="B350" t="str">
            <v>TRATOR DE ESTEIRAS POTENCIA 165 HP, PESO OPERACIONAL 17,1 - CHI NOTURNO</v>
          </cell>
          <cell r="C350" t="str">
            <v>CHI-N</v>
          </cell>
          <cell r="D350">
            <v>119.38</v>
          </cell>
        </row>
        <row r="351">
          <cell r="A351">
            <v>5854</v>
          </cell>
          <cell r="B351" t="str">
            <v>TRATOR DE ESTEIRAS 153HP PESO OPERACIONAL 15T, COM RODA MOTRIZ ELEVADA  - CHI NOTURNO</v>
          </cell>
          <cell r="C351" t="str">
            <v>CHI-N</v>
          </cell>
          <cell r="D351">
            <v>121.88</v>
          </cell>
        </row>
        <row r="352">
          <cell r="A352">
            <v>5858</v>
          </cell>
          <cell r="B352" t="str">
            <v>TRATOR DE ESTEIRAS COM LAMINA - POTENCIA 305 HP - PESO OPERACIONAL 37 T - CHI NOTURNO</v>
          </cell>
          <cell r="C352" t="str">
            <v>CHI-N</v>
          </cell>
          <cell r="D352">
            <v>274.43</v>
          </cell>
        </row>
        <row r="353">
          <cell r="A353">
            <v>5862</v>
          </cell>
          <cell r="B353" t="str">
            <v>TRATOR DE ESTEIRAS 99HP, PESO OPERACIONAL 8,5T - CHI NOTURNO</v>
          </cell>
          <cell r="C353" t="str">
            <v>CHI-N</v>
          </cell>
          <cell r="D353">
            <v>77.209999999999994</v>
          </cell>
        </row>
        <row r="354">
          <cell r="A354">
            <v>5866</v>
          </cell>
          <cell r="B354" t="str">
            <v>ROLO COMPACTADOR VIBRATÓRIO REBOCÁVEL AÇO LISO, PESO 4,7T, IMPACTO DINÂMICO 18,3T - CHI NOTURNO</v>
          </cell>
          <cell r="C354" t="str">
            <v>CHI-N</v>
          </cell>
          <cell r="D354">
            <v>28.33</v>
          </cell>
        </row>
        <row r="355">
          <cell r="A355">
            <v>5870</v>
          </cell>
          <cell r="B355" t="str">
            <v>ROLO COMPACTADOR VIBRATÓRIO TANDEM AÇO LISO, POTÊNCIA 58CV, PESO SEM/COM LASTRO 6,5/9,4 T - CHI NOTURNO</v>
          </cell>
          <cell r="C355" t="str">
            <v>CHI-N</v>
          </cell>
          <cell r="D355">
            <v>40.78</v>
          </cell>
        </row>
        <row r="356">
          <cell r="A356">
            <v>5874</v>
          </cell>
          <cell r="B356" t="str">
            <v>ROLO COMPACTADOR DE PNEUS ESTÁTICO PARA ASFALTO, PRESSÃO VARIÁVEL, POTÊNCIA 99HP, PESO OPERACIONAL SEM/COM LASTRO 8,3/21,0 T - CHI NOTURNO</v>
          </cell>
          <cell r="C356" t="str">
            <v>CHI-N</v>
          </cell>
          <cell r="D356">
            <v>54.04</v>
          </cell>
        </row>
        <row r="357">
          <cell r="A357">
            <v>5878</v>
          </cell>
          <cell r="B357" t="str">
            <v>RETRO-ESCAVADEIRA, 74HP (VU = 6 ANOS) - CHI NOTURNO</v>
          </cell>
          <cell r="C357" t="str">
            <v>CHI-N</v>
          </cell>
          <cell r="D357">
            <v>42.3</v>
          </cell>
        </row>
        <row r="358">
          <cell r="A358">
            <v>5885</v>
          </cell>
          <cell r="B358" t="str">
            <v>EQUIPAMENTO PARA LAMA ASFALTICA COM SILO DE AGREGADO 6M3, DOSADOR DE CIMENTO, MONTADO SOBRE CAMINHÃO  - CHI NOTURNO</v>
          </cell>
          <cell r="C358" t="str">
            <v>CHI-N</v>
          </cell>
          <cell r="D358">
            <v>78.64</v>
          </cell>
        </row>
        <row r="359">
          <cell r="A359">
            <v>5893</v>
          </cell>
          <cell r="B359" t="str">
            <v>CAMINHAO TOCO, 177CV - 14T (VU=6ANOS) (NAO INCLUI CARROCERIA) - CUSTO HORARIO IMPRODUTIVO NOTURNO</v>
          </cell>
          <cell r="C359" t="str">
            <v>CHI-N</v>
          </cell>
          <cell r="D359">
            <v>40.5</v>
          </cell>
        </row>
        <row r="360">
          <cell r="A360">
            <v>5897</v>
          </cell>
          <cell r="B360" t="str">
            <v>CAMINHAO TOCO, 170CV - 11T (VU=6ANOS) (NAO INCLUI CARROCERIA) - CUSTO HORARIO IMPRODUTIVO NOTURNO</v>
          </cell>
          <cell r="C360" t="str">
            <v>CHI-N</v>
          </cell>
          <cell r="D360">
            <v>40.130000000000003</v>
          </cell>
        </row>
        <row r="361">
          <cell r="A361">
            <v>5900</v>
          </cell>
          <cell r="B361" t="str">
            <v>CAMINHAO PIPA 6000L TOCO, 162CV - 7,5T (VU=6ANOS) (INCLUI TANQUE DE ACO PARA TRANSPORTE DE AGUA E MOTOBOMBA CENTRIFUGA A GASOLINA 3,5CV) - CUSTO HORARIO IMPRODUTIVO NOTURNO</v>
          </cell>
          <cell r="C361" t="str">
            <v>CHI-N</v>
          </cell>
          <cell r="D361">
            <v>41.12</v>
          </cell>
        </row>
        <row r="362">
          <cell r="A362">
            <v>5904</v>
          </cell>
          <cell r="B362" t="str">
            <v>CAMINHAO PIPA 10000L TRUCADO, 208CV - 21,1T (VU=6ANOS) (INCLUI TANQUE DE ACO PARA TRANSPORTE DE AGUA E MOTOBOMBA CENTRIFUGA A GASOLINA 3,5CV) - CUSTO HORARIO IMPRODUTIVO NOTURNO</v>
          </cell>
          <cell r="C362" t="str">
            <v>CHI-N</v>
          </cell>
          <cell r="D362">
            <v>43.17</v>
          </cell>
        </row>
        <row r="363">
          <cell r="A363">
            <v>5908</v>
          </cell>
          <cell r="B363" t="str">
            <v>DISTRIBUIDOR DE AGREGADO TIPO DOSADOR REBOCAVEL  COM 4 PNEUS COM LARGURA 3,66 M - CHI NOTURNO</v>
          </cell>
          <cell r="C363" t="str">
            <v>CHI-N</v>
          </cell>
          <cell r="D363">
            <v>12.42</v>
          </cell>
        </row>
        <row r="364">
          <cell r="A364">
            <v>5912</v>
          </cell>
          <cell r="B364" t="str">
            <v>DISTRIBUIDOR DE BETUME COM TANQUE DE 2500L, REBOCAVEL, PNEUMATICO COM MOTOR A GASOLINA 3,4HP  - CHI NOTURNO</v>
          </cell>
          <cell r="C364" t="str">
            <v>CHI-N</v>
          </cell>
          <cell r="D364">
            <v>14.59</v>
          </cell>
        </row>
        <row r="365">
          <cell r="A365">
            <v>5916</v>
          </cell>
          <cell r="B365" t="str">
            <v>DISTRIBUIDOR DE ASFALTO MONTADO SOBRE CAMINHAO TOCO 162 HP, COM TANQUE ISOLADO 6 M3 COM BARRA ESPARGIDORA DE 3,66 M - CHI NOTURNO</v>
          </cell>
          <cell r="C365" t="str">
            <v>CHI-N</v>
          </cell>
          <cell r="D365">
            <v>100.71</v>
          </cell>
        </row>
        <row r="366">
          <cell r="A366">
            <v>5927</v>
          </cell>
          <cell r="B366" t="str">
            <v>LANCA ELEVATORIA TELESCOPICA DE ACIONAMENTO HIDRAULICO, CAPACIDADE DE CARGA 30.000 KG, COM CESTO, MONTADA SOBRE CAMINHAO TRUCADO - CHI NOTURNO</v>
          </cell>
          <cell r="C366" t="str">
            <v>CHI-N</v>
          </cell>
          <cell r="D366">
            <v>237.62</v>
          </cell>
        </row>
        <row r="367">
          <cell r="A367">
            <v>5931</v>
          </cell>
          <cell r="B367" t="str">
            <v>GUINDASTE MUNK COM CESTO, CARGA MAXIMA 5,75T (A 2M) E 2,3T ( A 5M), ALT URA MAXIMA = 7,9M, MONTADO SOBRE CAMINHAO DE CARROCERIA 162HP - CHI NOTURNO</v>
          </cell>
          <cell r="C367" t="str">
            <v>CHI-N</v>
          </cell>
          <cell r="D367">
            <v>48.56</v>
          </cell>
        </row>
        <row r="368">
          <cell r="A368">
            <v>5935</v>
          </cell>
          <cell r="B368" t="str">
            <v>MOTONIVELADORA 140HP (VU=6ANOS) - CHI NOTURNO</v>
          </cell>
          <cell r="C368" t="str">
            <v>CHI-N</v>
          </cell>
          <cell r="D368">
            <v>85.45</v>
          </cell>
        </row>
        <row r="369">
          <cell r="A369">
            <v>5943</v>
          </cell>
          <cell r="B369" t="str">
            <v>PA CARREGADEIRA SOBRE RODAS 105 HP - CAPACIDADE DA CACAMBA 1,4 A 1,7 M3 - PESO OPERACIONAL 9.100 KG - CHI NOTURNO</v>
          </cell>
          <cell r="C369" t="str">
            <v>CHI-N</v>
          </cell>
          <cell r="D369">
            <v>65.48</v>
          </cell>
        </row>
        <row r="370">
          <cell r="A370">
            <v>5947</v>
          </cell>
          <cell r="B370" t="str">
            <v>PA CARREGADEIRA SOBRE RODAS 180 HP - CAPACIDADE DA CACAMBA. 2,5 A 3,3 M3 - PESO OPERACIONAL 17.428 - CHI NOTURNO</v>
          </cell>
          <cell r="C370" t="str">
            <v>CHI-N</v>
          </cell>
          <cell r="D370">
            <v>103.67</v>
          </cell>
        </row>
        <row r="371">
          <cell r="A371">
            <v>5951</v>
          </cell>
          <cell r="B371" t="str">
            <v>ROLO COMPACTADOR VIBRATÓRIO DE UM CILINDRO AÇO LISO, POTÊNCIA 80HP, PESO OPERACIONAL 8,1T - CHI NOTURNO</v>
          </cell>
          <cell r="C371" t="str">
            <v>CHI-N</v>
          </cell>
          <cell r="D371">
            <v>47.84</v>
          </cell>
        </row>
        <row r="372">
          <cell r="A372">
            <v>5960</v>
          </cell>
          <cell r="B372" t="str">
            <v>COMPACTADOR DE SOLOS COM PLACA VIBRATORIA, 46X51CM, 5HP, 156KG, DIESEL, IMPACTO DINAMICO 1700KG - CUSTO HORARIO IMPRODUTIVO NOTURNO</v>
          </cell>
          <cell r="C372" t="str">
            <v>CHI-N</v>
          </cell>
          <cell r="D372">
            <v>15.31</v>
          </cell>
        </row>
        <row r="373">
          <cell r="A373">
            <v>6390</v>
          </cell>
          <cell r="B373" t="str">
            <v>MAQUINA SOLDA ARCO 375A DIESEL 33CV CHI NOTURNO EXCLUSIVE OPERADOR</v>
          </cell>
          <cell r="C373" t="str">
            <v>H</v>
          </cell>
          <cell r="D373">
            <v>7.21</v>
          </cell>
        </row>
        <row r="374">
          <cell r="A374">
            <v>53868</v>
          </cell>
          <cell r="B374" t="str">
            <v>ROLO COMPACTADOR VIBRATÓRIO PÉ DE CARNEIRO, OPERADO POR CONTROLE REMOTO, POTÊNCIA 17HP, PESO OPERACIONAL 1,65T - CHI NOTURNO</v>
          </cell>
          <cell r="C374" t="str">
            <v>CHI-N</v>
          </cell>
          <cell r="D374">
            <v>5.66</v>
          </cell>
        </row>
        <row r="375">
          <cell r="A375">
            <v>5089</v>
          </cell>
          <cell r="B375" t="str">
            <v>ROLO COMPACTADOR VIBRATORIO PE DE CARNEIRO PARA SOLOS, POTENCIA 80HP, PESO MÁXIMO OPERACIONAL 8,8T - MANUTENCAO</v>
          </cell>
          <cell r="C375" t="str">
            <v>H</v>
          </cell>
          <cell r="D375">
            <v>15.69</v>
          </cell>
        </row>
        <row r="376">
          <cell r="A376">
            <v>5623</v>
          </cell>
          <cell r="B376" t="str">
            <v>CAMINHAO BASCULANTE 4,0M3 TOCO 162CV PBT=11800KG  - JUROS</v>
          </cell>
          <cell r="C376" t="str">
            <v>H</v>
          </cell>
          <cell r="D376">
            <v>4.9800000000000004</v>
          </cell>
        </row>
        <row r="377">
          <cell r="A377">
            <v>5624</v>
          </cell>
          <cell r="B377" t="str">
            <v>CAMINHAO BASCULANTE 4,0M3 TOCO 162CV PBT=11800KG - OPERACAO</v>
          </cell>
          <cell r="C377" t="str">
            <v>H</v>
          </cell>
          <cell r="D377">
            <v>66.2</v>
          </cell>
        </row>
        <row r="378">
          <cell r="A378">
            <v>5627</v>
          </cell>
          <cell r="B378" t="str">
            <v>ESCAVADEIRA HIDRAULICA SOBRE ESTEIRA 105HP, PESO OPERACIONAL 17T, CAP. 0,8M3 - DEPRECIACAO</v>
          </cell>
          <cell r="C378" t="str">
            <v>H</v>
          </cell>
          <cell r="D378">
            <v>37.36</v>
          </cell>
        </row>
        <row r="379">
          <cell r="A379">
            <v>5628</v>
          </cell>
          <cell r="B379" t="str">
            <v>ESCAVADEIRA HIDRAULICA SOBRE ESTEIRA 105HP, PESO OPERACIONAL 17T, CAP. 0,8M3 - JUROS</v>
          </cell>
          <cell r="C379" t="str">
            <v>H</v>
          </cell>
          <cell r="D379">
            <v>14.12</v>
          </cell>
        </row>
        <row r="380">
          <cell r="A380">
            <v>5629</v>
          </cell>
          <cell r="B380" t="str">
            <v>ESCAVADEIRA HIDRAULICA SOBRE ESTEIRA 105HP, PESO OPERACIONAL 17T, CAP. 0,8M3 - MANUTENCAO</v>
          </cell>
          <cell r="C380" t="str">
            <v>H</v>
          </cell>
          <cell r="D380">
            <v>29.91</v>
          </cell>
        </row>
        <row r="381">
          <cell r="A381">
            <v>5630</v>
          </cell>
          <cell r="B381" t="str">
            <v>ESCAVADEIRA HIDRAULICA SOBRE ESTEIRA 105HP, PESO OPERACIONAL 17T, CAP. 0,8M3 - MATERIAIS NA OPERACAO</v>
          </cell>
          <cell r="C381" t="str">
            <v>H</v>
          </cell>
          <cell r="D381">
            <v>65.260000000000005</v>
          </cell>
        </row>
        <row r="382">
          <cell r="A382">
            <v>5653</v>
          </cell>
          <cell r="B382" t="str">
            <v>PA CARREGADEIRA SOBRE RODAS, POTENCIA 105HP, CAPACIDADE DA CACAMBA 1,4 A 1,7M3 - DEPRECIACAO E JUROS</v>
          </cell>
          <cell r="C382" t="str">
            <v>H</v>
          </cell>
          <cell r="D382">
            <v>43.47</v>
          </cell>
        </row>
        <row r="383">
          <cell r="A383">
            <v>5654</v>
          </cell>
          <cell r="B383" t="str">
            <v>PA CARREGADEIRA SOBRE RODAS, POTENCIA 105HP, CAPACIDADE DA CACAMBA 1,4 A 1,7M3 - MANUTENCAO</v>
          </cell>
          <cell r="C383" t="str">
            <v>H</v>
          </cell>
          <cell r="D383">
            <v>32.96</v>
          </cell>
        </row>
        <row r="384">
          <cell r="A384">
            <v>5655</v>
          </cell>
          <cell r="B384" t="str">
            <v>PA CARREGADEIRA SOBRE RODAS, POTENCIA 105HP, CAPACIDADE DA CACAMBA 1,4 A 1,7M3 - CUSTO HORARIO DE MATERIAIS NA OPERACAO</v>
          </cell>
          <cell r="C384" t="str">
            <v>H</v>
          </cell>
          <cell r="D384">
            <v>53.14</v>
          </cell>
        </row>
        <row r="385">
          <cell r="A385">
            <v>5656</v>
          </cell>
          <cell r="B385" t="str">
            <v>PA CARREGADEIRA SOBRE RODAS, POTENCIA 105HP, CAPACIDADE DA CACAMBA 1,4 A 1,7M3 - MAO-DE-OBRA DIURNA NA OPERACAO</v>
          </cell>
          <cell r="C385" t="str">
            <v>H</v>
          </cell>
          <cell r="D385">
            <v>18.34</v>
          </cell>
        </row>
        <row r="386">
          <cell r="A386">
            <v>5657</v>
          </cell>
          <cell r="B386" t="str">
            <v>GRADE ARADORA COM 24 DISCOS DE 24 SOBRE PNEUS - DEPRECIACAO/JUROS</v>
          </cell>
          <cell r="C386" t="str">
            <v>H</v>
          </cell>
          <cell r="D386">
            <v>3.9</v>
          </cell>
        </row>
        <row r="387">
          <cell r="A387">
            <v>5658</v>
          </cell>
          <cell r="B387" t="str">
            <v>GRADE ARADORA COM 24 DISCOS DE 24" SOBRE PNEUS - MANUTENCAO</v>
          </cell>
          <cell r="C387" t="str">
            <v>H</v>
          </cell>
          <cell r="D387">
            <v>1.3</v>
          </cell>
        </row>
        <row r="388">
          <cell r="A388">
            <v>5663</v>
          </cell>
          <cell r="B388" t="str">
            <v>RETRO-ESCAVADEIRA, 4 X 4, 86 CV (VU= 5 ANOS)  - DEPRECIAÇÃO E JUROS</v>
          </cell>
          <cell r="C388" t="str">
            <v>H</v>
          </cell>
          <cell r="D388">
            <v>27.56</v>
          </cell>
        </row>
        <row r="389">
          <cell r="A389">
            <v>5664</v>
          </cell>
          <cell r="B389" t="str">
            <v>RETRO-ESCAVADEIRA, 4 X 4, 86 CV (VU= 5 ANOS) - MANUTENÇÃO</v>
          </cell>
          <cell r="C389" t="str">
            <v>H</v>
          </cell>
          <cell r="D389">
            <v>20.9</v>
          </cell>
        </row>
        <row r="390">
          <cell r="A390">
            <v>5665</v>
          </cell>
          <cell r="B390" t="str">
            <v>RETRO-ESCAVADEIRA, 4 X 4, 86 CV (VU= 5 ANOS) - MÃO DE OBRA/OPERAÇÃO</v>
          </cell>
          <cell r="C390" t="str">
            <v>H</v>
          </cell>
          <cell r="D390">
            <v>17.04</v>
          </cell>
        </row>
        <row r="391">
          <cell r="A391">
            <v>5666</v>
          </cell>
          <cell r="B391" t="str">
            <v>RETROESCAVADEIRA SOBRE RODAS 79 HP</v>
          </cell>
          <cell r="C391" t="str">
            <v>H</v>
          </cell>
          <cell r="D391">
            <v>25.46</v>
          </cell>
        </row>
        <row r="392">
          <cell r="A392">
            <v>5667</v>
          </cell>
          <cell r="B392" t="str">
            <v>RETROESCAVADEIRA C/ CARREGADEIRA SOBRE PNEUS C/TRANSMISSÃO MECÂNICA 79HP (VU=5ANOS) - MANUTENÇÃO</v>
          </cell>
          <cell r="C392" t="str">
            <v>H</v>
          </cell>
          <cell r="D392">
            <v>19.29</v>
          </cell>
        </row>
        <row r="393">
          <cell r="A393">
            <v>5668</v>
          </cell>
          <cell r="B393" t="str">
            <v>RETRO-ESCAVADEIRA, 75CV (VU= 5 ANOS)-CUSTO DE MATERIAIS NA OPERACAO</v>
          </cell>
          <cell r="C393" t="str">
            <v>H</v>
          </cell>
          <cell r="D393">
            <v>30.3</v>
          </cell>
        </row>
        <row r="394">
          <cell r="A394">
            <v>5669</v>
          </cell>
          <cell r="B394" t="str">
            <v>RETRO-ESCAVADEIRA, 75CV (VU= 5 ANOS)-MÃO DE OBRA/OPERAÇÃO</v>
          </cell>
          <cell r="C394" t="str">
            <v>H</v>
          </cell>
          <cell r="D394">
            <v>17.04</v>
          </cell>
        </row>
        <row r="395">
          <cell r="A395">
            <v>5670</v>
          </cell>
          <cell r="B395" t="str">
            <v>ROLO COMPACTADOR VIBRATORIO, CILINDRO LISO, AUTO-PROPELIDO 80HP, PESO MAXIMO OPERACIONAL 8,1T - CHP DIURNO - JUROS E DEPRECIACAO</v>
          </cell>
          <cell r="C395" t="str">
            <v>H</v>
          </cell>
          <cell r="D395">
            <v>27.26</v>
          </cell>
        </row>
        <row r="396">
          <cell r="A396">
            <v>5671</v>
          </cell>
          <cell r="B396" t="str">
            <v>ROLO COMPACTADOR VIBRATORIO DE UM CILINDRO LISO DE ACO, POTENCIA 80HP, PESO MAXIMO OPERACIONAL 8,1T - MANUTENCAO</v>
          </cell>
          <cell r="C396" t="str">
            <v>H</v>
          </cell>
          <cell r="D396">
            <v>16.41</v>
          </cell>
        </row>
        <row r="397">
          <cell r="A397">
            <v>5672</v>
          </cell>
          <cell r="B397" t="str">
            <v>ROLO COMPACTADOR VIBRATÓRIO DE CILINDRO LISO, AUTO-PROP., POTÊNCIA 80HP, PESO MÁXIMO OPERACIONAL 8,1T - CUSTO DA MÃO-DE-OBRA NA OPERAÇÃO</v>
          </cell>
          <cell r="C397" t="str">
            <v>H</v>
          </cell>
          <cell r="D397">
            <v>17.04</v>
          </cell>
        </row>
        <row r="398">
          <cell r="A398">
            <v>5673</v>
          </cell>
          <cell r="B398" t="str">
            <v>ROLO COMPACTADOR VIBRATORIO LISO AUTO-PROP, POTÊNCIA 83 CV -  6,6T, IMPACTO DINÂMICO 18,5/11,5T - DEPRECIAÇÃO E JUROS</v>
          </cell>
          <cell r="C398" t="str">
            <v>H</v>
          </cell>
          <cell r="D398">
            <v>9.52</v>
          </cell>
        </row>
        <row r="399">
          <cell r="A399">
            <v>5674</v>
          </cell>
          <cell r="B399" t="str">
            <v>ROLO COMPACTADOR VIBRATÓRIO,AUTO-PROPEL., DE CILINDRO LISO,  83 CV, PESO OPERACIONAL 6,6T, IMPACTO DINÂMICO 18,5/11,5T - MANUTENÇÃO.</v>
          </cell>
          <cell r="C399" t="str">
            <v>H</v>
          </cell>
          <cell r="D399">
            <v>14.31</v>
          </cell>
        </row>
        <row r="400">
          <cell r="A400">
            <v>5675</v>
          </cell>
          <cell r="B400" t="str">
            <v>ROLO COMPACTADOR VIBRATÓRIO, TANDEM, CILINDRO LISO DE AÇO, AUTO-PROPEL., 40HP -  4,4T, IMPACTO DINÂMICO 3,1T, VU 5 ANOS - DEPRECIAÇÃO E JUROS</v>
          </cell>
          <cell r="C400" t="str">
            <v>H</v>
          </cell>
          <cell r="D400">
            <v>8.8800000000000008</v>
          </cell>
        </row>
        <row r="401">
          <cell r="A401">
            <v>5676</v>
          </cell>
          <cell r="B401" t="str">
            <v>ROLO COMPACTADOR VIBRATORIO, TANDEM, CILINDRO LISO, AUTO-PROPEL. 40HP - 4,4T, IMPACTO DINAMICO 3,1T, VU 5 ANOS - MANUTENCAO.</v>
          </cell>
          <cell r="C401" t="str">
            <v>H</v>
          </cell>
          <cell r="D401">
            <v>5.34</v>
          </cell>
        </row>
        <row r="402">
          <cell r="A402">
            <v>5677</v>
          </cell>
          <cell r="B402" t="str">
            <v>ROLO COMPACTADOR VIBRATORIO, TANDEM, CILINDRO LISO AUTO-PROPEL. 40HP -  4,4T, IMPACTO DINAMICO 3,1T, VU 5 ANOS - CUSTO COM MATERIAIS NA OPERAÇÃO.</v>
          </cell>
          <cell r="C402" t="str">
            <v>H</v>
          </cell>
          <cell r="D402">
            <v>19.579999999999998</v>
          </cell>
        </row>
        <row r="403">
          <cell r="A403">
            <v>5691</v>
          </cell>
          <cell r="B403" t="str">
            <v>BOMBA CENTRIFUGA C/ MOTOR A GASOLINA 3,5CV - DEPRECIAÇÃO E JUROS</v>
          </cell>
          <cell r="C403" t="str">
            <v>H</v>
          </cell>
          <cell r="D403">
            <v>0.33</v>
          </cell>
        </row>
        <row r="404">
          <cell r="A404">
            <v>5692</v>
          </cell>
          <cell r="B404" t="str">
            <v>BOMBA CENTRIFUGA C/ MOTOR A GASOLINA 3,5CV - MANUTENÇÃO</v>
          </cell>
          <cell r="C404" t="str">
            <v>H</v>
          </cell>
          <cell r="D404">
            <v>0.13</v>
          </cell>
        </row>
        <row r="405">
          <cell r="A405">
            <v>5693</v>
          </cell>
          <cell r="B405" t="str">
            <v>BOMBA C/MOTOR A GASOLINA AUTOESCORVANTE PARA AGUA SUJA - 3/4 HP       MATERIAIS - OPERACAO</v>
          </cell>
          <cell r="C405" t="str">
            <v>H</v>
          </cell>
          <cell r="D405">
            <v>2.39</v>
          </cell>
        </row>
        <row r="406">
          <cell r="A406">
            <v>5694</v>
          </cell>
          <cell r="B406" t="str">
            <v>CAMINHAO BASCULANTE, 162HP- 6M3 (VU=5ANOS) - DEPRECIACAO E JUROS</v>
          </cell>
          <cell r="C406" t="str">
            <v>H</v>
          </cell>
          <cell r="D406">
            <v>23.08</v>
          </cell>
        </row>
        <row r="407">
          <cell r="A407">
            <v>5695</v>
          </cell>
          <cell r="B407" t="str">
            <v>CAMINHAO BASCULANTE, 162HP- 6M3 (VU=5ANOS) - MANUTENCAO</v>
          </cell>
          <cell r="C407" t="str">
            <v>H</v>
          </cell>
          <cell r="D407">
            <v>20.100000000000001</v>
          </cell>
        </row>
        <row r="408">
          <cell r="A408">
            <v>5696</v>
          </cell>
          <cell r="B408" t="str">
            <v>USINA DE ASFALTO A QUENTE FIXA CAP.40/80 TON/H-DEPRECIACA0 E JUROS</v>
          </cell>
          <cell r="C408" t="str">
            <v>H</v>
          </cell>
          <cell r="D408">
            <v>234.37</v>
          </cell>
        </row>
        <row r="409">
          <cell r="A409">
            <v>5697</v>
          </cell>
          <cell r="B409" t="str">
            <v>USINA DE ASFALTO A QUENTE FIXA CAP.40/80 TON/H-MANUTENCAO</v>
          </cell>
          <cell r="C409" t="str">
            <v>H</v>
          </cell>
          <cell r="D409">
            <v>153.07</v>
          </cell>
        </row>
        <row r="410">
          <cell r="A410">
            <v>5698</v>
          </cell>
          <cell r="B410" t="str">
            <v>USINA DE ASFALTO A QUENTE FIXA CAP.40/80 TON/H-MATERIAL E OPERACAO</v>
          </cell>
          <cell r="C410" t="str">
            <v>H</v>
          </cell>
          <cell r="D410">
            <v>6</v>
          </cell>
        </row>
        <row r="411">
          <cell r="A411">
            <v>5699</v>
          </cell>
          <cell r="B411" t="str">
            <v>USINA DA ASFALTO A QUENTE, FIXA, CAPACIDADE 40 A 80TON/H - MÃO-DE-OBRA NA OPERAÇÃO DIURNA</v>
          </cell>
          <cell r="C411" t="str">
            <v>H</v>
          </cell>
          <cell r="D411">
            <v>54.97</v>
          </cell>
        </row>
        <row r="412">
          <cell r="A412">
            <v>5700</v>
          </cell>
          <cell r="B412" t="str">
            <v>USINA DA ASFALTO A QUENTE, FIXA, CAPACIDADE 40 A 80TON/H - MÃO-DE-OBRA NA OPERAÇÃO NOTURNA</v>
          </cell>
          <cell r="C412" t="str">
            <v>H</v>
          </cell>
          <cell r="D412">
            <v>65.97</v>
          </cell>
        </row>
        <row r="413">
          <cell r="A413">
            <v>5701</v>
          </cell>
          <cell r="B413" t="str">
            <v>CAMINHAO BASCULANTE, 162HP- 6M3 /MAO-DE-OBRA NA OPERACAO NOTURNA</v>
          </cell>
          <cell r="C413" t="str">
            <v>H</v>
          </cell>
          <cell r="D413">
            <v>16.68</v>
          </cell>
        </row>
        <row r="414">
          <cell r="A414">
            <v>5702</v>
          </cell>
          <cell r="B414" t="str">
            <v>USINA DE CONCRETO FIXA CAPACIDADE 90/120 M³, 63HP - DEPRECIAÇÃO E JUROS</v>
          </cell>
          <cell r="C414" t="str">
            <v>H</v>
          </cell>
          <cell r="D414">
            <v>25.01</v>
          </cell>
        </row>
        <row r="415">
          <cell r="A415">
            <v>5703</v>
          </cell>
          <cell r="B415" t="str">
            <v>USINA DE CONCRETO FIXA CAPACIDADE 90/120 M³, 63HP - MATERIAIS NA OPERAÇÃO</v>
          </cell>
          <cell r="C415" t="str">
            <v>H</v>
          </cell>
          <cell r="D415">
            <v>16.79</v>
          </cell>
        </row>
        <row r="416">
          <cell r="A416">
            <v>5704</v>
          </cell>
          <cell r="B416" t="str">
            <v>USINA DE CONCRETO FIXA CAPACIDADE 90/120 M³, 63HP - MÃO-DE-OBRA NA OPERAÇÃO DIURNA</v>
          </cell>
          <cell r="C416" t="str">
            <v>H</v>
          </cell>
          <cell r="D416">
            <v>36.65</v>
          </cell>
        </row>
        <row r="417">
          <cell r="A417">
            <v>5705</v>
          </cell>
          <cell r="B417" t="str">
            <v>CAMINHAO CARROCERIA ABERTA,EM MADEIRA, TOCO, 170CV - 11T (VU=6ANOS) - MANUTENCAO</v>
          </cell>
          <cell r="C417" t="str">
            <v>H</v>
          </cell>
          <cell r="D417">
            <v>11.63</v>
          </cell>
        </row>
        <row r="418">
          <cell r="A418">
            <v>5706</v>
          </cell>
          <cell r="B418" t="str">
            <v>USINA MISTURADORA DE SOLOS, DOSADORES TRIPLOS, CALHA VIBRATÓRIA, CAPCIDADE 200/500 TON, 201HP - DEPRECIAÇÃO E JUROS</v>
          </cell>
          <cell r="C418" t="str">
            <v>H</v>
          </cell>
          <cell r="D418">
            <v>139.06</v>
          </cell>
        </row>
        <row r="419">
          <cell r="A419">
            <v>5707</v>
          </cell>
          <cell r="B419" t="str">
            <v>USINA MISTURADORA DE SOLOS, DOSADORES TRIPLOS, CALHA VIBRATÓRIA, CAPCIDADE 200/500 TON, 201HP - MANUTENÇÃO</v>
          </cell>
          <cell r="C419" t="str">
            <v>H</v>
          </cell>
          <cell r="D419">
            <v>90.72</v>
          </cell>
        </row>
        <row r="420">
          <cell r="A420">
            <v>5708</v>
          </cell>
          <cell r="B420" t="str">
            <v>USINA MISTURADORA DE SOLOS, DOSADORES TRIPLOS, CALHA VIBRATÓRIA, CAPCIDADE 200/500 TON, 201HP - MÃO-DE-OBRA NA OPERAÇÃO NOTURNA</v>
          </cell>
          <cell r="C420" t="str">
            <v>H</v>
          </cell>
          <cell r="D420">
            <v>76.97</v>
          </cell>
        </row>
        <row r="421">
          <cell r="A421">
            <v>5709</v>
          </cell>
          <cell r="B421" t="str">
            <v>VIBROACABADORA SOBRE ESTEIRAS POTENCIA MAX. 105CV CAPACIDADE ATE 450 T/H - DEPRECIACAO E JUROS</v>
          </cell>
          <cell r="C421" t="str">
            <v>H</v>
          </cell>
          <cell r="D421">
            <v>109.91</v>
          </cell>
        </row>
        <row r="422">
          <cell r="A422">
            <v>5710</v>
          </cell>
          <cell r="B422" t="str">
            <v>VIBROACABADORA SOBRE ESTEIRAS POTENCIA MAX. 105CV CAPACIDADE ATE 450 T/H - MANUTENCAO</v>
          </cell>
          <cell r="C422" t="str">
            <v>H</v>
          </cell>
          <cell r="D422">
            <v>66</v>
          </cell>
        </row>
        <row r="423">
          <cell r="A423">
            <v>5711</v>
          </cell>
          <cell r="B423" t="str">
            <v>VIBROACABADORA SOBRE ESTEIRAS POTENCIA MAX. 105CV CAPACIDADE ATE 450 T/H  -  MATERIAS NA OPERACAO</v>
          </cell>
          <cell r="C423" t="str">
            <v>H</v>
          </cell>
          <cell r="D423">
            <v>25.4</v>
          </cell>
        </row>
        <row r="424">
          <cell r="A424">
            <v>5712</v>
          </cell>
          <cell r="B424" t="str">
            <v>VASSOURA MECÂNICA REBOCÁVEL C/ ESCOVA CILÍNDRICA LARGURA = 2,44M - DEPRECIAÇÃO E JUROS</v>
          </cell>
          <cell r="C424" t="str">
            <v>H</v>
          </cell>
          <cell r="D424">
            <v>5.24</v>
          </cell>
        </row>
        <row r="425">
          <cell r="A425">
            <v>5713</v>
          </cell>
          <cell r="B425" t="str">
            <v>TRATOR PNEUS TRAÇÃO 4X2, 82CV, PESO C/ LASTRO 4,555 T (VU=5ANOS) -DEPRECIAÇÃO E JUROS</v>
          </cell>
          <cell r="C425" t="str">
            <v>H</v>
          </cell>
          <cell r="D425">
            <v>13.75</v>
          </cell>
        </row>
        <row r="426">
          <cell r="A426">
            <v>5714</v>
          </cell>
          <cell r="B426" t="str">
            <v>TRATOR PNEUS TRAÇÃO 4X2, 82 CV, PESO C/ LASTRO 4,555 T (VU=5ANOS) - MANUTENÇÃO</v>
          </cell>
          <cell r="C426" t="str">
            <v>H</v>
          </cell>
          <cell r="D426">
            <v>8.34</v>
          </cell>
        </row>
        <row r="427">
          <cell r="A427">
            <v>5715</v>
          </cell>
          <cell r="B427" t="str">
            <v>TRATOR PNEUS TRAÇÃO 4X2, 82 CV, PESO C/ LASTRO 4,555 T - MATERIAIS NA OPERAÇÃO</v>
          </cell>
          <cell r="C427" t="str">
            <v>H</v>
          </cell>
          <cell r="D427">
            <v>50.34</v>
          </cell>
        </row>
        <row r="428">
          <cell r="A428">
            <v>5716</v>
          </cell>
          <cell r="B428" t="str">
            <v>TRATOR PNEUS TRAÇÃO 4X2, 82 CV, PESO C/ LASTRO 4,555 T - MÃO-DE-OBRA OPERACAO DIURNA</v>
          </cell>
          <cell r="C428" t="str">
            <v>H</v>
          </cell>
          <cell r="D428">
            <v>18.739999999999998</v>
          </cell>
        </row>
        <row r="429">
          <cell r="A429">
            <v>5717</v>
          </cell>
          <cell r="B429" t="str">
            <v>TRATOR DE ESTEIRAS POTENCIA 165 HP, PESO OPERACIONAL 17,1T (VU=5ANOS) - DEPRECIACAO E JUROS</v>
          </cell>
          <cell r="C429" t="str">
            <v>H</v>
          </cell>
          <cell r="D429">
            <v>96.88</v>
          </cell>
        </row>
        <row r="430">
          <cell r="A430">
            <v>5718</v>
          </cell>
          <cell r="B430" t="str">
            <v>TRATOR DE ESTEIRAS POTENCIA 165 HP, PESO OPERACIONAL 17,1T - VALOR MATERIAIS NA OPERACAO</v>
          </cell>
          <cell r="C430" t="str">
            <v>H</v>
          </cell>
          <cell r="D430">
            <v>74.59</v>
          </cell>
        </row>
        <row r="431">
          <cell r="A431">
            <v>5720</v>
          </cell>
          <cell r="B431" t="str">
            <v>TRATOR DE ESTEIRAS 153HP PESO OPERACIONAL 15T, COM RODA MOTRIZ ELEVADA  (VU=5ANOS) -DEPRECIACAO E JUROS</v>
          </cell>
          <cell r="C431" t="str">
            <v>H</v>
          </cell>
          <cell r="D431">
            <v>99.38</v>
          </cell>
        </row>
        <row r="432">
          <cell r="A432">
            <v>5721</v>
          </cell>
          <cell r="B432" t="str">
            <v>TRATOR DE ESTEIRAS 153HP PESO OPERACIONAL 15T, COM RODA MOTRIZ ELEVADA - MATERIAIS NA OPERACAO</v>
          </cell>
          <cell r="C432" t="str">
            <v>H</v>
          </cell>
          <cell r="D432">
            <v>71.319999999999993</v>
          </cell>
        </row>
        <row r="433">
          <cell r="A433">
            <v>5722</v>
          </cell>
          <cell r="B433" t="str">
            <v>TRATOR DE ESTEIRAS COM LAMINA - POTENCIA 305 HP - PESO OPERACIONAL 37 T - MATERIAIS NA OPERACAO</v>
          </cell>
          <cell r="C433" t="str">
            <v>H</v>
          </cell>
          <cell r="D433">
            <v>142.19</v>
          </cell>
        </row>
        <row r="434">
          <cell r="A434">
            <v>5723</v>
          </cell>
          <cell r="B434" t="str">
            <v>TRATOR DE ESTEIRAS 99HP, PESO OPERACIONAL 8,5T  (VU=5ANOS) - DEPRECIAO E JUROS</v>
          </cell>
          <cell r="C434" t="str">
            <v>H</v>
          </cell>
          <cell r="D434">
            <v>54.72</v>
          </cell>
        </row>
        <row r="435">
          <cell r="A435">
            <v>5724</v>
          </cell>
          <cell r="B435" t="str">
            <v>TRATOR DE ESTEIRAS 99HP, PESO OPERACIONAL 8,5T  (VU=5ANOS) - MANUTENCAO</v>
          </cell>
          <cell r="C435" t="str">
            <v>H</v>
          </cell>
          <cell r="D435">
            <v>41.48</v>
          </cell>
        </row>
        <row r="436">
          <cell r="A436">
            <v>5725</v>
          </cell>
          <cell r="B436" t="str">
            <v>TRATOR DE ESTEIRAS 99HP, PESO OPERACIONAL 8,5T - MAO-DE-OBRA NA OPERACAO DIURNA</v>
          </cell>
          <cell r="C436" t="str">
            <v>H</v>
          </cell>
          <cell r="D436">
            <v>18.739999999999998</v>
          </cell>
        </row>
        <row r="437">
          <cell r="A437">
            <v>5726</v>
          </cell>
          <cell r="B437" t="str">
            <v>TRATOR DE ESTEIRAS 99HP, PESO OPERACIONAL 8,5T - MAO-DE-OBRA NA OPERACAO NOTURNA</v>
          </cell>
          <cell r="C437" t="str">
            <v>H</v>
          </cell>
          <cell r="D437">
            <v>22.49</v>
          </cell>
        </row>
        <row r="438">
          <cell r="A438">
            <v>5727</v>
          </cell>
          <cell r="B438" t="str">
            <v>ROLO COMPACTADOR VIBRATÓRIO REBOCÁVEL CILINDRO LISO, 4,7T, IMPACTO DINÂMICO 18,3T - MANUTENÇÃO.</v>
          </cell>
          <cell r="C438" t="str">
            <v>H</v>
          </cell>
          <cell r="D438">
            <v>2.62</v>
          </cell>
        </row>
        <row r="439">
          <cell r="A439">
            <v>5728</v>
          </cell>
          <cell r="B439" t="str">
            <v>ROLO COMPACTADOR VIBRATÓRIO, TANDEM, AUTO-PROPEL.,CILINDRO LISO,  58CV -  6,5/9,4 T, SEM OU COM LASTRO - DEPRECIAÇÃO E JUROS.</v>
          </cell>
          <cell r="C439" t="str">
            <v>H</v>
          </cell>
          <cell r="D439">
            <v>20.32</v>
          </cell>
        </row>
        <row r="440">
          <cell r="A440">
            <v>5729</v>
          </cell>
          <cell r="B440" t="str">
            <v>ROLO COMPACTADOR VIBRATÓRIO, TANDEM, AUTO-PROPEL.,CILINDRO LISO,  58CV -  6,5/9,4 T, SEM OU COM LASTRO - MANUTENÇÃO.</v>
          </cell>
          <cell r="C440" t="str">
            <v>H</v>
          </cell>
          <cell r="D440">
            <v>12.2</v>
          </cell>
        </row>
        <row r="441">
          <cell r="A441">
            <v>5730</v>
          </cell>
          <cell r="B441" t="str">
            <v>ROLO COMPACTADOR VIBRATÓRIO, TANDEM, AUTO-PROPEL.,CILINDRO LISO,  58CV -  6,5/9,4 T, SEM OU COM LASTRO - CUSTOS COM MATERIAIS NA OPERAÇÃO.</v>
          </cell>
          <cell r="C441" t="str">
            <v>H</v>
          </cell>
          <cell r="D441">
            <v>35.43</v>
          </cell>
        </row>
        <row r="442">
          <cell r="A442">
            <v>5731</v>
          </cell>
          <cell r="B442" t="str">
            <v>ROLO COMPACTADOR VIBRATÓRIO, TANDEM, AUTO-PROPEL.,CILINDRO LISO,  58CV -  6,5/9,4 T, SEM OU COM LASTRO - CUSTOS COM MÃO DE OBRA NA OPERAÇÃO NOTURNA.</v>
          </cell>
          <cell r="C442" t="str">
            <v>H</v>
          </cell>
          <cell r="D442">
            <v>20.45</v>
          </cell>
        </row>
        <row r="443">
          <cell r="A443">
            <v>5732</v>
          </cell>
          <cell r="B443" t="str">
            <v>ROLO COMPACTADOR PNEUMÁTICO, AUTO-PROPEL., PRESSÃO VARIÁVEL,  99HP, PESO OPERACIONAL SEM OU COM LASTRO 8,3/21,0 T - MANUTENÇÃO.</v>
          </cell>
          <cell r="C443" t="str">
            <v>H</v>
          </cell>
          <cell r="D443">
            <v>22.21</v>
          </cell>
        </row>
        <row r="444">
          <cell r="A444">
            <v>5733</v>
          </cell>
          <cell r="B444" t="str">
            <v>ROLO COMPACTADOR PNEUMÁTICO, AUTO-PROPEL., PRESSÃO VARIÁVEL, 99HP, PESO OPERACIONAL SEM OU COM LASTRO 8,3/21,0 T - CUSTO COM MATERIAIS NA OPERAÇÃO</v>
          </cell>
          <cell r="C444" t="str">
            <v>H</v>
          </cell>
          <cell r="D444">
            <v>67.59</v>
          </cell>
        </row>
        <row r="445">
          <cell r="A445">
            <v>5734</v>
          </cell>
          <cell r="B445" t="str">
            <v>RETRO-ESCAVADEIRA, 74HP   (VU=6 ANOS)- DEPRECIAÇÃO E JUROS</v>
          </cell>
          <cell r="C445" t="str">
            <v>H</v>
          </cell>
          <cell r="D445">
            <v>25.25</v>
          </cell>
        </row>
        <row r="446">
          <cell r="A446">
            <v>5735</v>
          </cell>
          <cell r="B446" t="str">
            <v>RETRO-ESCAVADEIRA, 74HP (VU= 6 ANOS)  - MANUTENÇÃO</v>
          </cell>
          <cell r="C446" t="str">
            <v>H</v>
          </cell>
          <cell r="D446">
            <v>14.67</v>
          </cell>
        </row>
        <row r="447">
          <cell r="A447">
            <v>5736</v>
          </cell>
          <cell r="B447" t="str">
            <v>RETRO-ESCAVADEIRA, 74HP (VU= 5 ANOS)  - MATERIAIS OPERAÇÃO</v>
          </cell>
          <cell r="C447" t="str">
            <v>H</v>
          </cell>
          <cell r="D447">
            <v>39.159999999999997</v>
          </cell>
        </row>
        <row r="448">
          <cell r="A448">
            <v>5737</v>
          </cell>
          <cell r="B448" t="str">
            <v>RETRO-ESCAVADEIRA, 74HP   (VU=6 ANOS) - MÃO-DE-OBRA/OPERAÇÃO NOTURNO</v>
          </cell>
          <cell r="C448" t="str">
            <v>H</v>
          </cell>
          <cell r="D448">
            <v>17.04</v>
          </cell>
        </row>
        <row r="449">
          <cell r="A449">
            <v>5738</v>
          </cell>
          <cell r="B449" t="str">
            <v>ROLO COMPACTADOR VIBRATÓRIO PÉ DE CARNEIRO, OPERADO POR CONTROLE REMOTO, POTÊNCIA 17HP, PESO OPERACIONAL 1,65T - DEPRECIAÇÃO E JUROS</v>
          </cell>
          <cell r="C449" t="str">
            <v>H</v>
          </cell>
          <cell r="D449">
            <v>5.66</v>
          </cell>
        </row>
        <row r="450">
          <cell r="A450">
            <v>5739</v>
          </cell>
          <cell r="B450" t="str">
            <v>ROLO COMPACTADOR VIBRATÓRIO PÉ DE CARNEIRO, OPERADO POR CONTROLE REMOTO, 17HP - 1,65T - MANUTENÇÃO.</v>
          </cell>
          <cell r="C450" t="str">
            <v>H</v>
          </cell>
          <cell r="D450">
            <v>1.88</v>
          </cell>
        </row>
        <row r="451">
          <cell r="A451">
            <v>5740</v>
          </cell>
          <cell r="B451" t="str">
            <v>EQUIPAMENTO PARA LAMA ASFALTICA COM SILO DE AGREGADO 6M3, DOSADOR DE CIMENTO, MONTADO SOBRE CAMINHÃO - DEPRECIACAO E JUROS</v>
          </cell>
          <cell r="C451" t="str">
            <v>H</v>
          </cell>
          <cell r="D451">
            <v>57.68</v>
          </cell>
        </row>
        <row r="452">
          <cell r="A452">
            <v>5741</v>
          </cell>
          <cell r="B452" t="str">
            <v>EQUIPAMENTO PARA LAMA ASFALTICA COM SILO DE AGREGADO 6M3, DOSADOR DE CIMENTO, A SER MONTADO SOBRE CAMINHÃO (NAO INCLUI O CAMINHAO) - CUSTO HORARIO DE MANUTENCAO</v>
          </cell>
          <cell r="C452" t="str">
            <v>H</v>
          </cell>
          <cell r="D452">
            <v>25.99</v>
          </cell>
        </row>
        <row r="453">
          <cell r="A453">
            <v>5742</v>
          </cell>
          <cell r="B453" t="str">
            <v>EQUIPAMENTO PARA LAMA ASFALTICA COM SILO DE AGREGADO 6M3, DOSADOR DE CIMENTO, A SER MONTADO SOBRE CAMINHÃO (NAO INCLUI O CAMINHAO) - CUSTO HORARIO DE MATERIAIS NA OPERACAO</v>
          </cell>
          <cell r="C453" t="str">
            <v>H</v>
          </cell>
          <cell r="D453">
            <v>59.67</v>
          </cell>
        </row>
        <row r="454">
          <cell r="A454">
            <v>5743</v>
          </cell>
          <cell r="B454" t="str">
            <v>EQUIPAMENTO PARA LAMA ASFALTICA COM SILO DE AGREGADO 6M3, DOSADOR DE CIMENTO, A SER MONTADO SOBRE CAMINHÃO (NAO INCLUI O CAMINHAO) - MAO-DE-OBRA DIURNA NA OPERACAO</v>
          </cell>
          <cell r="C454" t="str">
            <v>H</v>
          </cell>
          <cell r="D454">
            <v>17.46</v>
          </cell>
        </row>
        <row r="455">
          <cell r="A455">
            <v>5744</v>
          </cell>
          <cell r="B455" t="str">
            <v>EQUIPAMENTO PARA LAMA ASFALTICA COM SILO DE AGREGADO 6M3, DOSADOR DE CIMENTO, MONTADO SOBRE CAMINHÃO - MAO-DE-OBRA NOTURNA NA OPERACAO</v>
          </cell>
          <cell r="C455" t="str">
            <v>H</v>
          </cell>
          <cell r="D455">
            <v>20.95</v>
          </cell>
        </row>
        <row r="456">
          <cell r="A456">
            <v>5745</v>
          </cell>
          <cell r="B456" t="str">
            <v>CAMINHAO PIPA 6.000L TOCO 162CV - PBT=11800KG  C/BOMBA GASOLINA - DEPRECIACAO E JUROS</v>
          </cell>
          <cell r="C456" t="str">
            <v>H</v>
          </cell>
          <cell r="D456">
            <v>23.11</v>
          </cell>
        </row>
        <row r="457">
          <cell r="A457">
            <v>5746</v>
          </cell>
          <cell r="B457" t="str">
            <v>CAMINHAO PIPA 6.000L TOCO 162CV - PBT=11800KG  C/BOMBA GASOLINA -MANUTENCAO</v>
          </cell>
          <cell r="C457" t="str">
            <v>H</v>
          </cell>
          <cell r="D457">
            <v>13.95</v>
          </cell>
        </row>
        <row r="458">
          <cell r="A458">
            <v>5747</v>
          </cell>
          <cell r="B458" t="str">
            <v>CAMINHAO PIPA 6000L TOCO, 162CV - 7,5T (VU=6ANOS) (INCLUI TANQUE DE ACO PARA TRANSPORTE DE AGUA) - CUSTO HORARIO DE MATERIAIS NA OPERACAO</v>
          </cell>
          <cell r="C458" t="str">
            <v>H</v>
          </cell>
          <cell r="D458">
            <v>43.35</v>
          </cell>
        </row>
        <row r="459">
          <cell r="A459">
            <v>5748</v>
          </cell>
          <cell r="B459" t="str">
            <v>CAMINHAO PIPA 6000L TOCO, 162CV - 7,5T (VU=6ANOS) (INCLUI TANQUE DE ACO PARA TRANSPORTE DE AGUA E MOTOBOMBA CENTRIFUGA A GASOLINA 3,5CV) - MAO-DE-OBRA DIURNA NA OPERACAO</v>
          </cell>
          <cell r="C459" t="str">
            <v>H</v>
          </cell>
          <cell r="D459">
            <v>17.46</v>
          </cell>
        </row>
        <row r="460">
          <cell r="A460">
            <v>5750</v>
          </cell>
          <cell r="B460" t="str">
            <v>CAMINHAO TOCO, 177CV - 14T (VU=6ANOS) (NAO INCLUI CARROCERIA) - DEPRECIACAO E JUROS</v>
          </cell>
          <cell r="C460" t="str">
            <v>H</v>
          </cell>
          <cell r="D460">
            <v>19.54</v>
          </cell>
        </row>
        <row r="461">
          <cell r="A461">
            <v>5751</v>
          </cell>
          <cell r="B461" t="str">
            <v>CAMINHAO TOCO, 177CV - 14T (VU=6ANOS) (NAO INCLUI CARROCERIA) - MANUTENCAO</v>
          </cell>
          <cell r="C461" t="str">
            <v>H</v>
          </cell>
          <cell r="D461">
            <v>14.18</v>
          </cell>
        </row>
        <row r="462">
          <cell r="A462">
            <v>5752</v>
          </cell>
          <cell r="B462" t="str">
            <v>CAMINHAO TOCO, 177CV - 14T (VU=6ANOS) (NAO INCLUI CARROCERIA) - MAO-DE-OBRA NOTURNA NA OPERACAO</v>
          </cell>
          <cell r="C462" t="str">
            <v>H</v>
          </cell>
          <cell r="D462">
            <v>20.95</v>
          </cell>
        </row>
        <row r="463">
          <cell r="A463">
            <v>5753</v>
          </cell>
          <cell r="B463" t="str">
            <v>CAMINHAO TOCO, 170CV - 11T (VU=6ANOS) (NAO INCLUI CARROCERIA) - DEPRECIACAO E JUROS</v>
          </cell>
          <cell r="C463" t="str">
            <v>H</v>
          </cell>
          <cell r="D463">
            <v>19.170000000000002</v>
          </cell>
        </row>
        <row r="464">
          <cell r="A464">
            <v>5754</v>
          </cell>
          <cell r="B464" t="str">
            <v>CAMINHAO TOCO, 170CV - 11T (VU=6ANOS) (NAO INCLUI CARROCERIA) - MANUTENCAO</v>
          </cell>
          <cell r="C464" t="str">
            <v>H</v>
          </cell>
          <cell r="D464">
            <v>11.13</v>
          </cell>
        </row>
        <row r="465">
          <cell r="A465">
            <v>5755</v>
          </cell>
          <cell r="B465" t="str">
            <v>CAMINHAO TOCO, 170CV - 11T (VU=6ANOS) (NAO INCLUI CARROCERIA) - MAO-DE-OBRA DIURNA NA OPERACAO</v>
          </cell>
          <cell r="C465" t="str">
            <v>H</v>
          </cell>
          <cell r="D465">
            <v>17.46</v>
          </cell>
        </row>
        <row r="466">
          <cell r="A466">
            <v>5756</v>
          </cell>
          <cell r="B466" t="str">
            <v>CAMINHAO PIPA 6000L TOCO, 162CV - 7,5T (VU=6ANOS) (INCLUI TANQUE DE ACO PARA TRANSPORTE DE AGUA E MOTOBOMBA CENTRIFUGA A GASOLINA 3,5CV) - DEPRECIACAO E JUROS</v>
          </cell>
          <cell r="C466" t="str">
            <v>H</v>
          </cell>
          <cell r="D466">
            <v>20.16</v>
          </cell>
        </row>
        <row r="467">
          <cell r="A467">
            <v>5757</v>
          </cell>
          <cell r="B467" t="str">
            <v>CAMINHAO PIPA 6000L TOCO, 162CV - 7,5T (VU=6ANOS) (INCLUI TANQUE DE ACO PARA TRANSPORTE DE AGUA E MOTOBOMBA CENTRIFUGA A GASOLINA 3,5CV) - MANUTENCAO</v>
          </cell>
          <cell r="C467" t="str">
            <v>H</v>
          </cell>
          <cell r="D467">
            <v>11.65</v>
          </cell>
        </row>
        <row r="468">
          <cell r="A468">
            <v>5758</v>
          </cell>
          <cell r="B468" t="str">
            <v>CAMINHAO PIPA 6000L TOCO, 162CV - 7,5T (VU=6ANOS) (INCLUI TANQUE DE ACO PARA TRANSPORTE DE AGUA E MOTOBOMBA CENTRIFUGA A GASOLINA 3,5CV) - CUSTO HORARIO DE MATERIAIS NA OPERACAO</v>
          </cell>
          <cell r="C468" t="str">
            <v>H</v>
          </cell>
          <cell r="D468">
            <v>68.59</v>
          </cell>
        </row>
        <row r="469">
          <cell r="A469">
            <v>5759</v>
          </cell>
          <cell r="B469" t="str">
            <v>CAMINHAO PIPA F12000 142HP TANQUE 6000L/MAO-DE-OBRA NA OPERACAO DIURNA</v>
          </cell>
          <cell r="C469" t="str">
            <v>H</v>
          </cell>
          <cell r="D469">
            <v>13.9</v>
          </cell>
        </row>
        <row r="470">
          <cell r="A470">
            <v>5760</v>
          </cell>
          <cell r="B470" t="str">
            <v>CAMINHAO PIPA 6000L TOCO, 162CV - 7,5T (VU=6ANOS) (INCLUI TANQUE DE ACO PARA TRANSPORTE DE AGUA) - MAO-DE-OBRA NOTURNA NA OPERACAO</v>
          </cell>
          <cell r="C470" t="str">
            <v>H</v>
          </cell>
          <cell r="D470">
            <v>20.95</v>
          </cell>
        </row>
        <row r="471">
          <cell r="A471">
            <v>5762</v>
          </cell>
          <cell r="B471" t="str">
            <v>CAMINHAO PIPA 10000L TRUCADO, 208CV - 21,1T (VU=6ANOS) (INCLUI TANQUE DE ACO PARA TRANSPORTE DE AGUA E MOTOBOMBA CENTRIFUGA A GASOLINA 3,5CV) - DEPRECIACAO E JUROS</v>
          </cell>
          <cell r="C471" t="str">
            <v>H</v>
          </cell>
          <cell r="D471">
            <v>22.21</v>
          </cell>
        </row>
        <row r="472">
          <cell r="A472">
            <v>5763</v>
          </cell>
          <cell r="B472" t="str">
            <v>CAMINHAO PIPA 10000L TRUCADO, 208CV - 21,1T (VU=6ANOS) (INCLUI TANQUE DE ACO PARA TRANSPORTE DE AGUA E MOTOBOMBA CENTRIFUGA A GASOLINA 3,5CV) - MANUTENCAO</v>
          </cell>
          <cell r="C472" t="str">
            <v>H</v>
          </cell>
          <cell r="D472">
            <v>12.84</v>
          </cell>
        </row>
        <row r="473">
          <cell r="A473">
            <v>5764</v>
          </cell>
          <cell r="B473" t="str">
            <v>CAMINHAO PIPA 10000L TRUCADO, 208CV - 21,1T (VU=6ANOS) (INCLUI TANQUE DE ACO PARA TRANSPORTE DE AGUA E MOTOBOMBA CENTRIFUGA A GASOLINA 3,5CV) - MAO-DE-OBRA NOTURNA NA OPERACAO</v>
          </cell>
          <cell r="C473" t="str">
            <v>H</v>
          </cell>
          <cell r="D473">
            <v>20.95</v>
          </cell>
        </row>
        <row r="474">
          <cell r="A474">
            <v>5765</v>
          </cell>
          <cell r="B474" t="str">
            <v>DISTRIBUIDOR DE BETUME COM TANQUE DE 2500L, REBOCAVEL, PNEUMATICO COM MOTOR A GASOLINA 3,4HP -  MANUTENCAO</v>
          </cell>
          <cell r="C474" t="str">
            <v>H</v>
          </cell>
          <cell r="D474">
            <v>8.4</v>
          </cell>
        </row>
        <row r="475">
          <cell r="A475">
            <v>5766</v>
          </cell>
          <cell r="B475" t="str">
            <v>DISTRIBUIDOR DE BETUME COM TANQUE DE 2500L, REBOCAVEL, PNEUMATICO COM MOTOR A GASOLINA 3,4HP  - CUSTO COM MATERIAIS NA OPERACAO</v>
          </cell>
          <cell r="C475" t="str">
            <v>H</v>
          </cell>
          <cell r="D475">
            <v>38.82</v>
          </cell>
        </row>
        <row r="476">
          <cell r="A476">
            <v>5767</v>
          </cell>
          <cell r="B476" t="str">
            <v>DISTRIBUIDOR DE BETUME COM TANQUE DE 2500L, REBOCAVEL, PNEUMATICO COM MOTOR A GASOLINA 3,4HP  - CUSTO COM MAO-DE-OBRA NA OPERACAO DIURNA</v>
          </cell>
          <cell r="C476" t="str">
            <v>H</v>
          </cell>
          <cell r="D476">
            <v>0.08</v>
          </cell>
        </row>
        <row r="477">
          <cell r="A477">
            <v>5768</v>
          </cell>
          <cell r="B477" t="str">
            <v>DISTRIBUIDOR DE BETUME COM TANQUE DE 2500L, REBOCAVEL, PNEUMATICO COM MOTOR A GASOLINA 3,4HP  - CUSTO COM MAO-DE-OBRA NA OPERACAO NOTURNA</v>
          </cell>
          <cell r="C477" t="str">
            <v>H</v>
          </cell>
          <cell r="D477">
            <v>0.09</v>
          </cell>
        </row>
        <row r="478">
          <cell r="A478">
            <v>5769</v>
          </cell>
          <cell r="B478" t="str">
            <v>DISTRIBUIDOR DE ASFALTO MONTADO SOBRE CAMINHAO TOCO 162 HP, COM TANQUE ISOLADO 6 M3 COM BARRA ESPARGIDORA  DE 3,66 M - MANUTENCAO</v>
          </cell>
          <cell r="C478" t="str">
            <v>H</v>
          </cell>
          <cell r="D478">
            <v>34.92</v>
          </cell>
        </row>
        <row r="479">
          <cell r="A479">
            <v>5770</v>
          </cell>
          <cell r="B479" t="str">
            <v>DISTRIBUIDOR DE ASFALTO MONTADO SOBRE CAMINHAO TOCO 162 HP, COM TANQUE ISOLADO 6 M3 COM BARRA ESPARGIDORA  DE 3,66 M - CUSTO C/ MAO-DE-OBRA NA OPERACAO DIURNA.</v>
          </cell>
          <cell r="C479" t="str">
            <v>H</v>
          </cell>
          <cell r="D479">
            <v>34.93</v>
          </cell>
        </row>
        <row r="480">
          <cell r="A480">
            <v>5771</v>
          </cell>
          <cell r="B480" t="str">
            <v>DISTRIBUIDOR DE ASFALTO CAP 5.000L SOBRE CAMINHAO TOCO 142HP - CUSTO C/ MAO-DE-OBRA NA OPERACAO NOTURNA</v>
          </cell>
          <cell r="C480" t="str">
            <v>H</v>
          </cell>
          <cell r="D480">
            <v>41.91</v>
          </cell>
        </row>
        <row r="481">
          <cell r="A481">
            <v>5775</v>
          </cell>
          <cell r="B481" t="str">
            <v>LANCA ELEVATORIA TELESCOPICA DE ACIONAMENTO HIDRAULICO, CAPACIDADE DE CARGA 30.000 KG, COM CESTO, MONTADA SOBRE CAMINHAO TRUCADO - MANUTENCAO</v>
          </cell>
          <cell r="C481" t="str">
            <v>H</v>
          </cell>
          <cell r="D481">
            <v>105.58</v>
          </cell>
        </row>
        <row r="482">
          <cell r="A482">
            <v>5776</v>
          </cell>
          <cell r="B482" t="str">
            <v>LANCA ELEVATORIA TELESCOPICA DE ACIONAMENTO HIDRAULICO, CAPACIDADE DE CARGA 30.000 KG, COM CESTO, MONTADA SOBRE CAMINHAO TRUCADO  - CUSTO COM MATERIAIS NA OPERACAO</v>
          </cell>
          <cell r="C482" t="str">
            <v>H</v>
          </cell>
          <cell r="D482">
            <v>61.53</v>
          </cell>
        </row>
        <row r="483">
          <cell r="A483">
            <v>5777</v>
          </cell>
          <cell r="B483" t="str">
            <v>GUINDASTE MUNK COM CESTO, CARGA MAXIMA 5,75T (A 2M) E 2,3T ( A 5M), ALTURA MAXIMA = 7,9M, MONTADO SOBRE CAMINHAO DE CARROCERIA FORD 162HP - MANUTENCAO</v>
          </cell>
          <cell r="C483" t="str">
            <v>H</v>
          </cell>
          <cell r="D483">
            <v>15.14</v>
          </cell>
        </row>
        <row r="484">
          <cell r="A484">
            <v>5778</v>
          </cell>
          <cell r="B484" t="str">
            <v>MOTONIVELADORA 140HP (VU=6ANOS) - DEPRECIACAO E JUROS</v>
          </cell>
          <cell r="C484" t="str">
            <v>H</v>
          </cell>
          <cell r="D484">
            <v>63.02</v>
          </cell>
        </row>
        <row r="485">
          <cell r="A485">
            <v>5779</v>
          </cell>
          <cell r="B485" t="str">
            <v>MOTONIVELADORA 140HP (VU=6ANOS) - MANUTENCAO</v>
          </cell>
          <cell r="C485" t="str">
            <v>H</v>
          </cell>
          <cell r="D485">
            <v>36.61</v>
          </cell>
        </row>
        <row r="486">
          <cell r="A486">
            <v>5782</v>
          </cell>
          <cell r="B486" t="str">
            <v>MOTOSCRAPER  270HP  - CUSTO COM MATERIAIS NA OPERACAO</v>
          </cell>
          <cell r="C486" t="str">
            <v>H</v>
          </cell>
          <cell r="D486">
            <v>125.87</v>
          </cell>
        </row>
        <row r="487">
          <cell r="A487">
            <v>5783</v>
          </cell>
          <cell r="B487" t="str">
            <v>MOTOSCRAPER  270HP -CUSTO COM MA0-DE-0BRA NA OPERACAO DIURNA</v>
          </cell>
          <cell r="C487" t="str">
            <v>H</v>
          </cell>
          <cell r="D487">
            <v>17.04</v>
          </cell>
        </row>
        <row r="488">
          <cell r="A488">
            <v>5786</v>
          </cell>
          <cell r="B488" t="str">
            <v>PA CARREGADEIRA SOBRE RODAS 180 HP - CAPACIDADE DA CACAMBA. 2,5 A 3,3 M3 - PESO OPERACIONAL 17.428 - (VU=5ANOS)  - DEPRECIACAO E JUROS</v>
          </cell>
          <cell r="C488" t="str">
            <v>H</v>
          </cell>
          <cell r="D488">
            <v>81.66</v>
          </cell>
        </row>
        <row r="489">
          <cell r="A489">
            <v>5787</v>
          </cell>
          <cell r="B489" t="str">
            <v>PA CARREGADEIRA SOBRE RODAS 180 HP - CAPACIDADE DA CACAMBA. 2,5 A 3,3 M3 - PESO OPERACIONAL 17.428  -  CUSTO C/MATERIAIS NA OPERACAO</v>
          </cell>
          <cell r="C489" t="str">
            <v>H</v>
          </cell>
          <cell r="D489">
            <v>79.25</v>
          </cell>
        </row>
        <row r="490">
          <cell r="A490">
            <v>5788</v>
          </cell>
          <cell r="B490" t="str">
            <v>PA CARREGADEIRA SOBRE RODAS 180 HP - CAPACIDADE DA CACAMBA. 2,5 A 3,3 M3 - PESO OPERACIONAL 17.428 - CUSTO C/ MAO-DE-OBRA NA OPERACAO DIURNA</v>
          </cell>
          <cell r="C490" t="str">
            <v>H</v>
          </cell>
          <cell r="D490">
            <v>18.34</v>
          </cell>
        </row>
        <row r="491">
          <cell r="A491">
            <v>5789</v>
          </cell>
          <cell r="B491" t="str">
            <v>PA CARREGADEIRA SOBRE RODAS 180 HP - CAPACIDADE DA CACAMBA. 2,5 A 3,3 M3 - PESO OPERACIONAL 17.428 - CUSTO C/ MAO-DE-OBRA NA OPERACAO NOTURNA</v>
          </cell>
          <cell r="C491" t="str">
            <v>H</v>
          </cell>
          <cell r="D491">
            <v>22.01</v>
          </cell>
        </row>
        <row r="492">
          <cell r="A492">
            <v>5790</v>
          </cell>
          <cell r="B492" t="str">
            <v>ROLO COMPACTADOR VIBRATÓRIO DE UM CILINDRO AÇO LISO, POTÊNCIA 80HP, PESO OPERACIONAL 8,1T - DEPRECIAÇÃO E JUROS</v>
          </cell>
          <cell r="C492" t="str">
            <v>H</v>
          </cell>
          <cell r="D492">
            <v>27.38</v>
          </cell>
        </row>
        <row r="493">
          <cell r="A493">
            <v>5791</v>
          </cell>
          <cell r="B493" t="str">
            <v>ROLO COMPACTADOR VIBRATÓRIO, AUTO-PREOPEL.,CILINDRO LISO, 80HP - 8,1T - MANUTENÇÃO.</v>
          </cell>
          <cell r="C493" t="str">
            <v>H</v>
          </cell>
          <cell r="D493">
            <v>16.440000000000001</v>
          </cell>
        </row>
        <row r="494">
          <cell r="A494">
            <v>5792</v>
          </cell>
          <cell r="B494" t="str">
            <v>ROLO COMPACTADOR VIBRATÓRIO, AUTO-PREOPEL.,CILINDRO LISO, 80HP - 8,1T - CUSTOS COM MATERIAIS NAOPERAÇÃO.</v>
          </cell>
          <cell r="C494" t="str">
            <v>H</v>
          </cell>
          <cell r="D494">
            <v>35.43</v>
          </cell>
        </row>
        <row r="495">
          <cell r="A495">
            <v>5793</v>
          </cell>
          <cell r="B495" t="str">
            <v>ROLO COMPACTADOR VIBRATÓRIO DE UM CILINDRO LISO, POTÊNCIA 80HP, PESO OPERACIONAL 8,1T - MÃO-DE-OBRA NA OPERAÇÃO NOTURNA</v>
          </cell>
          <cell r="C495" t="str">
            <v>H</v>
          </cell>
          <cell r="D495">
            <v>20.45</v>
          </cell>
        </row>
        <row r="496">
          <cell r="A496">
            <v>5794</v>
          </cell>
          <cell r="B496" t="str">
            <v>MARTELETE OU ROMPEDOR PNEUMÁTICO MANUAL 28KG, FREQUENCIA DE IMPACTO 1230/MINUTO - DEPRECIAÇÃO E JUROS</v>
          </cell>
          <cell r="C496" t="str">
            <v>H</v>
          </cell>
          <cell r="D496">
            <v>0.83</v>
          </cell>
        </row>
        <row r="497">
          <cell r="A497">
            <v>5796</v>
          </cell>
          <cell r="B497" t="str">
            <v>MARTELETE OU ROMPEDOR PNEUMÁTICO MANUAL 28KG, FREQUENCIA DE IMPACTO 1230/MINUTO - MÃO DE OBRA NA OPERAÇÃO DIURNA</v>
          </cell>
          <cell r="C497" t="str">
            <v>H</v>
          </cell>
          <cell r="D497">
            <v>9.5</v>
          </cell>
        </row>
        <row r="498">
          <cell r="A498">
            <v>5797</v>
          </cell>
          <cell r="B498" t="str">
            <v>COMPRESSOR DE AR REBOCAVEL, DESCARGA LIVRE EFETIVA 180PCM, PRESSAO DE TRABALHO 102 PSI, MOTOR A DIESEL 89CV - MANUTENCAO</v>
          </cell>
          <cell r="C498" t="str">
            <v>H</v>
          </cell>
          <cell r="D498">
            <v>2.48</v>
          </cell>
        </row>
        <row r="499">
          <cell r="A499">
            <v>5798</v>
          </cell>
          <cell r="B499" t="str">
            <v>COMPRESSOR DE AR REBOCAVEL, DESCARGA LIVRE EFETIVA 180PCM, PRESSAO DE TRABALHO 102 PSI, MOTOR A DIESEL 89CV - MAO-DE-OBRA DIURNA NA OPERACAO</v>
          </cell>
          <cell r="C499" t="str">
            <v>H</v>
          </cell>
          <cell r="D499">
            <v>9.16</v>
          </cell>
        </row>
        <row r="500">
          <cell r="A500">
            <v>5799</v>
          </cell>
          <cell r="B500" t="str">
            <v>BOMBA ELETRICA TRIFASICA SUBMERSA 3CV PARA DRENAGEM - JUROS E DEPRECIACAO</v>
          </cell>
          <cell r="C500" t="str">
            <v>H</v>
          </cell>
          <cell r="D500">
            <v>0.55000000000000004</v>
          </cell>
        </row>
        <row r="501">
          <cell r="A501">
            <v>5800</v>
          </cell>
          <cell r="B501" t="str">
            <v>BOMBA ELETRICA SUBMERSA TRIFASICA 3CV - MANUTENCAO</v>
          </cell>
          <cell r="C501" t="str">
            <v>H</v>
          </cell>
          <cell r="D501">
            <v>0.21</v>
          </cell>
        </row>
        <row r="502">
          <cell r="A502">
            <v>5801</v>
          </cell>
          <cell r="B502" t="str">
            <v>COMPACTADOR DE SOLOS COM PLACA VIBRATORIA, 46X51CM, 5HP, 156KG, DIESEL, IMPACTO DINAMICO 1700KG - DEPRECIACAO E JUROS</v>
          </cell>
          <cell r="C502" t="str">
            <v>H</v>
          </cell>
          <cell r="D502">
            <v>4.32</v>
          </cell>
        </row>
        <row r="503">
          <cell r="A503">
            <v>5802</v>
          </cell>
          <cell r="B503" t="str">
            <v>COMPACTADOR DE SOLOS COM PLACA VIBRATORIA, 46X51CM, 5HP, 156KG, DIESEL, IMPACTO DINAMICO 1700KG - MANUTENCAO</v>
          </cell>
          <cell r="C503" t="str">
            <v>H</v>
          </cell>
          <cell r="D503">
            <v>1.71</v>
          </cell>
        </row>
        <row r="504">
          <cell r="A504">
            <v>5804</v>
          </cell>
          <cell r="B504" t="str">
            <v>COMPACTADOR DE SOLOS COM PLACA VIBRATORIA, 46X51CM, 5HP, 156KG, DIESEL, IMPACTO DINAMICO 1700KG - MAO-DE-OBRA DIURNA NA OPERACAO</v>
          </cell>
          <cell r="C504" t="str">
            <v>H</v>
          </cell>
          <cell r="D504">
            <v>9.16</v>
          </cell>
        </row>
        <row r="505">
          <cell r="A505">
            <v>5962</v>
          </cell>
          <cell r="B505" t="str">
            <v>TANQUE ESTACIONARIO TAA -MACARICO CAP 20 000 L  - DEPRECIACAO E JUROS</v>
          </cell>
          <cell r="C505" t="str">
            <v>UN</v>
          </cell>
          <cell r="D505">
            <v>8.76</v>
          </cell>
        </row>
        <row r="506">
          <cell r="A506">
            <v>6175</v>
          </cell>
          <cell r="B506" t="str">
            <v>CAMINHAO BASCULANTE - 5,0M3 - 170HP,11,24T (VU=5ANOS)/DEPRECIACAO E JUROS</v>
          </cell>
          <cell r="C506" t="str">
            <v>CHI</v>
          </cell>
          <cell r="D506">
            <v>37.29</v>
          </cell>
        </row>
        <row r="507">
          <cell r="A507">
            <v>6176</v>
          </cell>
          <cell r="B507" t="str">
            <v>CAMINHAO BASCULANTE,5,0 M3 - 11,24T - 170HP (VU=5ANOS) - DEPRECIACAO</v>
          </cell>
          <cell r="C507" t="str">
            <v>H</v>
          </cell>
          <cell r="D507">
            <v>28.27</v>
          </cell>
        </row>
        <row r="508">
          <cell r="A508">
            <v>6177</v>
          </cell>
          <cell r="B508" t="str">
            <v>CAMINHAO BASCULANTE, 5,0 M3 - 170HP -11,24T (VU=5ANOS) - JUROS</v>
          </cell>
          <cell r="C508" t="str">
            <v>H</v>
          </cell>
          <cell r="D508">
            <v>9.02</v>
          </cell>
        </row>
        <row r="509">
          <cell r="A509">
            <v>6178</v>
          </cell>
          <cell r="B509" t="str">
            <v>CAMINHAO BASCULANTE,TOCO 5,0 M3 - 170HP -11,24T (VU=5ANOS)  -CUSTOS C/ MATERIAL NA OPERACAO.</v>
          </cell>
          <cell r="C509" t="str">
            <v>H</v>
          </cell>
          <cell r="D509">
            <v>62</v>
          </cell>
        </row>
        <row r="510">
          <cell r="A510">
            <v>6237</v>
          </cell>
          <cell r="B510" t="str">
            <v>TRATOR DE ESTEIRAS COM LAMINA - POTENCIA 305 HP - PESO OPERACIONAL 37 T (VU=10ANOS) - DEPRECIACAO E JUROS</v>
          </cell>
          <cell r="C510" t="str">
            <v>H</v>
          </cell>
          <cell r="D510">
            <v>169.04</v>
          </cell>
        </row>
        <row r="511">
          <cell r="A511">
            <v>6238</v>
          </cell>
          <cell r="B511" t="str">
            <v>TRATOR DE ESTEIRAS COM LAMINA - POTENCIA 305 HP - PESO OPERACIONAL 37 T (VU=10ANOS) - MANUTENCAO</v>
          </cell>
          <cell r="C511" t="str">
            <v>H</v>
          </cell>
          <cell r="D511">
            <v>95.5</v>
          </cell>
        </row>
        <row r="512">
          <cell r="A512">
            <v>6240</v>
          </cell>
          <cell r="B512" t="str">
            <v>PA CARREGADEIRA SOBRE RODAS 180 HP - CAPACIDADE DA CACAMBA. 2,5 A 3,3 M3 - PESO OPERACIONAL 17.428 (VU=8A)  - DEPRECIACAO E JUROS</v>
          </cell>
          <cell r="C512" t="str">
            <v>H</v>
          </cell>
          <cell r="D512">
            <v>62.34</v>
          </cell>
        </row>
        <row r="513">
          <cell r="A513">
            <v>6241</v>
          </cell>
          <cell r="B513" t="str">
            <v>PA CARREGADEIRA SOBRE RODAS 180 HP - CAPACIDADE DA CACAMBA. 2,5 A 3,3 M3 - PESO OPERACIONAL 17.428 (VU=8ANOS) - MANUTENCAO</v>
          </cell>
          <cell r="C513" t="str">
            <v>H</v>
          </cell>
          <cell r="D513">
            <v>32.869999999999997</v>
          </cell>
        </row>
        <row r="514">
          <cell r="A514">
            <v>6244</v>
          </cell>
          <cell r="B514" t="str">
            <v>MOTONIVELADORA 140HP PESO OPERACIONAL 12,5T - DEPRECIACAO E JUROS</v>
          </cell>
          <cell r="C514" t="str">
            <v>H</v>
          </cell>
          <cell r="D514">
            <v>55.28</v>
          </cell>
        </row>
        <row r="515">
          <cell r="A515">
            <v>6245</v>
          </cell>
          <cell r="B515" t="str">
            <v>MOTONIVELADORA 140HP PESO OPERACIONAL 12,5T - MANUTENCAO</v>
          </cell>
          <cell r="C515" t="str">
            <v>H</v>
          </cell>
          <cell r="D515">
            <v>27.45</v>
          </cell>
        </row>
        <row r="516">
          <cell r="A516">
            <v>6248</v>
          </cell>
          <cell r="B516" t="str">
            <v>TRATOR DE ESTEIRAS 153HP PESO OPERACIONAL 15T, COM RODA MOTRIZ ELEVADA (VU=10AN0S) -DEPRECIAO E JUROS</v>
          </cell>
          <cell r="C516" t="str">
            <v>H</v>
          </cell>
          <cell r="D516">
            <v>66.680000000000007</v>
          </cell>
        </row>
        <row r="517">
          <cell r="A517">
            <v>6249</v>
          </cell>
          <cell r="B517" t="str">
            <v>TRATOR DE ESTEIRAS CATERPILLAR D6 153HP (VU=10AN0S) - MANUTENCAO</v>
          </cell>
          <cell r="C517" t="str">
            <v>H</v>
          </cell>
          <cell r="D517">
            <v>37.67</v>
          </cell>
        </row>
        <row r="518">
          <cell r="A518">
            <v>6252</v>
          </cell>
          <cell r="B518" t="str">
            <v>CAMINHAO BASCULANTE,6,0 M3 -  211CV - 11,24T,(VU=7ANOS) - DEPRECIACAO E JUROS</v>
          </cell>
          <cell r="C518" t="str">
            <v>H</v>
          </cell>
          <cell r="D518">
            <v>26.6</v>
          </cell>
        </row>
        <row r="519">
          <cell r="A519">
            <v>6253</v>
          </cell>
          <cell r="B519" t="str">
            <v>CAMINHAO BASCULANTE 204CV (VU=7ANOS) - MANUTENCAO</v>
          </cell>
          <cell r="C519" t="str">
            <v>H</v>
          </cell>
          <cell r="D519">
            <v>15.6</v>
          </cell>
        </row>
        <row r="520">
          <cell r="A520">
            <v>6254</v>
          </cell>
          <cell r="B520" t="str">
            <v>CAMINHAO BASCULANTE 204CV - CUSTO COM MATERIAL NA OPERACAO</v>
          </cell>
          <cell r="C520" t="str">
            <v>H</v>
          </cell>
          <cell r="D520">
            <v>95.1</v>
          </cell>
        </row>
        <row r="521">
          <cell r="A521">
            <v>6255</v>
          </cell>
          <cell r="B521" t="str">
            <v>CAMINHAO BASCULANTE 204CV / VALOR DA MAO-DE-OBRA NA OPERACAO</v>
          </cell>
          <cell r="C521" t="str">
            <v>H</v>
          </cell>
          <cell r="D521">
            <v>16.100000000000001</v>
          </cell>
        </row>
        <row r="522">
          <cell r="A522">
            <v>6258</v>
          </cell>
          <cell r="B522" t="str">
            <v>CAMINHAO PIPA 6000L TOCO, 162CV - 7,5T (VU=6ANOS) (INCLUI TANQUE DE ACO PARA TRANSPORTE DE AGUA) - DEPRECIACAO E JUROS</v>
          </cell>
          <cell r="C522" t="str">
            <v>H</v>
          </cell>
          <cell r="D522">
            <v>17.39</v>
          </cell>
        </row>
        <row r="523">
          <cell r="A523">
            <v>6538</v>
          </cell>
          <cell r="B523" t="str">
            <v>TRATOR DE ESTEIRAS - D6 - DEPRECIACAO</v>
          </cell>
          <cell r="C523" t="str">
            <v>H</v>
          </cell>
          <cell r="D523">
            <v>75.349999999999994</v>
          </cell>
        </row>
        <row r="524">
          <cell r="A524">
            <v>6539</v>
          </cell>
          <cell r="B524" t="str">
            <v>TRATOR DE ESTEIRAS - D6 - JUROS</v>
          </cell>
          <cell r="C524" t="str">
            <v>H</v>
          </cell>
          <cell r="D524">
            <v>24.03</v>
          </cell>
        </row>
        <row r="525">
          <cell r="A525">
            <v>6540</v>
          </cell>
          <cell r="B525" t="str">
            <v>TRATOR DE ESTEIRAS - D6 - MANUTENCAO</v>
          </cell>
          <cell r="C525" t="str">
            <v>H</v>
          </cell>
          <cell r="D525">
            <v>75.349999999999994</v>
          </cell>
        </row>
        <row r="526">
          <cell r="A526">
            <v>6542</v>
          </cell>
          <cell r="B526" t="str">
            <v>TRATOR DE ESTEIRAS - D6 - MAO DE OBRA NA OPERACAO</v>
          </cell>
          <cell r="C526" t="str">
            <v>H</v>
          </cell>
          <cell r="D526">
            <v>17.920000000000002</v>
          </cell>
        </row>
        <row r="527">
          <cell r="A527">
            <v>7008</v>
          </cell>
          <cell r="B527" t="str">
            <v>EXTRUSORA DE GUIAS E SARJETAS 14HP - DEPRECIACAO</v>
          </cell>
          <cell r="C527" t="str">
            <v>H</v>
          </cell>
          <cell r="D527">
            <v>5.99</v>
          </cell>
        </row>
        <row r="528">
          <cell r="A528">
            <v>7009</v>
          </cell>
          <cell r="B528" t="str">
            <v>EXTRUSORA DE GUIAS E SARJETAS 14HP - JUROS</v>
          </cell>
          <cell r="C528" t="str">
            <v>H</v>
          </cell>
          <cell r="D528">
            <v>2.2599999999999998</v>
          </cell>
        </row>
        <row r="529">
          <cell r="A529">
            <v>7010</v>
          </cell>
          <cell r="B529" t="str">
            <v>EXTRUSORA DE GUIAS E SARJETAS 14HP - MANUTENCAO</v>
          </cell>
          <cell r="C529" t="str">
            <v>H</v>
          </cell>
          <cell r="D529">
            <v>2.99</v>
          </cell>
        </row>
        <row r="530">
          <cell r="A530">
            <v>7013</v>
          </cell>
          <cell r="B530" t="str">
            <v>VEICULO UTILITARIO TIPO PICK-UP A GASOLINA COM 56,8CV - DEPRECIACAO</v>
          </cell>
          <cell r="C530" t="str">
            <v>H</v>
          </cell>
          <cell r="D530">
            <v>4.75</v>
          </cell>
        </row>
        <row r="531">
          <cell r="A531">
            <v>7014</v>
          </cell>
          <cell r="B531" t="str">
            <v>VEICULO UTILITARIO TIPO PICK-UP A GASOLINA COM 56,8CV -  JUROS</v>
          </cell>
          <cell r="C531" t="str">
            <v>H</v>
          </cell>
          <cell r="D531">
            <v>2</v>
          </cell>
        </row>
        <row r="532">
          <cell r="A532">
            <v>7015</v>
          </cell>
          <cell r="B532" t="str">
            <v>VEICULO UTILITARIO TIPO PICK-UP A GASOLINA COM 56,8CV - MANUTENCAO</v>
          </cell>
          <cell r="C532" t="str">
            <v>H</v>
          </cell>
          <cell r="D532">
            <v>3.91</v>
          </cell>
        </row>
        <row r="533">
          <cell r="A533">
            <v>7016</v>
          </cell>
          <cell r="B533" t="str">
            <v>VEICULO UTILITARIO TIPO PICK-UP A GASOLINA COM 56,8CV - CUSTOS C/MATERIAL NA OPERACAO</v>
          </cell>
          <cell r="C533" t="str">
            <v>H</v>
          </cell>
          <cell r="D533">
            <v>40.21</v>
          </cell>
        </row>
        <row r="534">
          <cell r="A534">
            <v>7017</v>
          </cell>
          <cell r="B534" t="str">
            <v>MÃO-DE-OBRA OPERAÇÃO DIURNA - VEÍCULO LEVE</v>
          </cell>
          <cell r="C534" t="str">
            <v>H</v>
          </cell>
          <cell r="D534">
            <v>17.36</v>
          </cell>
        </row>
        <row r="535">
          <cell r="A535">
            <v>7019</v>
          </cell>
          <cell r="B535" t="str">
            <v>DISTRIBUIDOR DE BETUME 6000L 56CV SOB PRESSAO MONTADO SOBRE CHASSIS DE CAMINHAO - DEPRECIACAO</v>
          </cell>
          <cell r="C535" t="str">
            <v>H</v>
          </cell>
          <cell r="D535">
            <v>28.49</v>
          </cell>
        </row>
        <row r="536">
          <cell r="A536">
            <v>7020</v>
          </cell>
          <cell r="B536" t="str">
            <v>DISTRIBUIDOR DE BETUME 6000L 56CV SOB PRESSAO MONTADO SOBRE CHASSIS DE CAMINHAO - JUROS</v>
          </cell>
          <cell r="C536" t="str">
            <v>H</v>
          </cell>
          <cell r="D536">
            <v>14.24</v>
          </cell>
        </row>
        <row r="537">
          <cell r="A537">
            <v>7021</v>
          </cell>
          <cell r="B537" t="str">
            <v>DISTRIBUIDOR DE BETUME 6000L 56CV SOB PRESSAO MONTADO SOBRE CHASSIS DE CAMINHAO - MANUTENCAO</v>
          </cell>
          <cell r="C537" t="str">
            <v>H</v>
          </cell>
          <cell r="D537">
            <v>25.64</v>
          </cell>
        </row>
        <row r="538">
          <cell r="A538">
            <v>7022</v>
          </cell>
          <cell r="B538" t="str">
            <v>DISTRIBUIDOR DE BETUME 6000L, 56CV SOB PRESSAO MONTADO SOBRE CHASSIS DE CAMINHAO - CUSTOS COM MATERIAL OPERACAO DIURNA</v>
          </cell>
          <cell r="C538" t="str">
            <v>H</v>
          </cell>
          <cell r="D538">
            <v>125.04</v>
          </cell>
        </row>
        <row r="539">
          <cell r="A539">
            <v>7026</v>
          </cell>
          <cell r="B539" t="str">
            <v>ROLO COMPACTADOR DE PNEUS 111HP 11TON - DEPRECIACAO</v>
          </cell>
          <cell r="C539" t="str">
            <v>H</v>
          </cell>
          <cell r="D539">
            <v>24.05</v>
          </cell>
        </row>
        <row r="540">
          <cell r="A540">
            <v>7027</v>
          </cell>
          <cell r="B540" t="str">
            <v>ROLO COMPACTADOR DE PNEUS 111HP 11TON - JUROS</v>
          </cell>
          <cell r="C540" t="str">
            <v>H</v>
          </cell>
          <cell r="D540">
            <v>12.02</v>
          </cell>
        </row>
        <row r="541">
          <cell r="A541">
            <v>7028</v>
          </cell>
          <cell r="B541" t="str">
            <v>ROLO COMPACTADOR DE PNEUS 111HP 11TON  - MANUTENCAO</v>
          </cell>
          <cell r="C541" t="str">
            <v>H</v>
          </cell>
          <cell r="D541">
            <v>21.66</v>
          </cell>
        </row>
        <row r="542">
          <cell r="A542">
            <v>7032</v>
          </cell>
          <cell r="B542" t="str">
            <v>TANQUE ESTACINARIO TAA COM SERPENTINA E CAPACIDADE PARA 30.000L - DEPRECIACAO</v>
          </cell>
          <cell r="C542" t="str">
            <v>H</v>
          </cell>
          <cell r="D542">
            <v>6.9</v>
          </cell>
        </row>
        <row r="543">
          <cell r="A543">
            <v>7033</v>
          </cell>
          <cell r="B543" t="str">
            <v>TANQUE ESTACINARIO TAA COM SERPENTINA E CAPACIDADE PARA 30.000L - JUROS</v>
          </cell>
          <cell r="C543" t="str">
            <v>H</v>
          </cell>
          <cell r="D543">
            <v>2.6</v>
          </cell>
        </row>
        <row r="544">
          <cell r="A544">
            <v>7034</v>
          </cell>
          <cell r="B544" t="str">
            <v>TANQUE ESTACINARIO TAA COM SERPENTINA E CAPACIDADE PARA 30.000L  - MANUTENCAO</v>
          </cell>
          <cell r="C544" t="str">
            <v>H</v>
          </cell>
          <cell r="D544">
            <v>3.45</v>
          </cell>
        </row>
        <row r="545">
          <cell r="A545">
            <v>7035</v>
          </cell>
          <cell r="B545" t="str">
            <v>TANQUE ESTACINARIO TAA COM SERPENTINA CAPACIDADE DE 30.000L - CUSTOS COM MATERIAL</v>
          </cell>
          <cell r="C545" t="str">
            <v>H</v>
          </cell>
          <cell r="D545">
            <v>443.48</v>
          </cell>
        </row>
        <row r="546">
          <cell r="A546">
            <v>7038</v>
          </cell>
          <cell r="B546" t="str">
            <v>ROLO COMPACTADOR DE PNEUS ESTATICO, PRESSAO VARIAVEL, POTENCIA 111HP - PESO SEM/COM LASTRO 9,5/22,4T - DEPRECIACAO</v>
          </cell>
          <cell r="C546" t="str">
            <v>H</v>
          </cell>
          <cell r="D546">
            <v>24.05</v>
          </cell>
        </row>
        <row r="547">
          <cell r="A547">
            <v>7039</v>
          </cell>
          <cell r="B547" t="str">
            <v>ROLO COMPACTADOR DE PNEUS ESTATICO, PRESSAO VARIAVEL, POTENCIA 111HP - PESO SEM/COM LASTRO 9,5/22,4T - JUROS</v>
          </cell>
          <cell r="C547" t="str">
            <v>H</v>
          </cell>
          <cell r="D547">
            <v>12.02</v>
          </cell>
        </row>
        <row r="548">
          <cell r="A548">
            <v>7040</v>
          </cell>
          <cell r="B548" t="str">
            <v>ROLO COMPACTADOR DE PNEUS ESTATICO, PRESSAO VARIAVEL, POTENCIA 111HP - PESO SEM/COM LASTRO 9,5/22,4T - MANUTENCAO</v>
          </cell>
          <cell r="C548" t="str">
            <v>H</v>
          </cell>
          <cell r="D548">
            <v>21.66</v>
          </cell>
        </row>
        <row r="549">
          <cell r="A549">
            <v>7041</v>
          </cell>
          <cell r="B549" t="str">
            <v>ROLO COMPACTADOR DE PNEUS ESTATICO, PRESSAO VARIAVEL, POTENCIA 111HP - PESO SEM/COM LASTRO 9,5/22,4T - CUSTOS COM MAO-DE-OBRA NA OPERACAO</v>
          </cell>
          <cell r="C549" t="str">
            <v>H</v>
          </cell>
          <cell r="D549">
            <v>17.04</v>
          </cell>
        </row>
        <row r="550">
          <cell r="A550">
            <v>7044</v>
          </cell>
          <cell r="B550" t="str">
            <v>CONJUNTO MOTOR-BOMBA DIESEL PARA DRENAGEM DE AGUA SUJA - 6HP - DEPRECIACAO</v>
          </cell>
          <cell r="C550" t="str">
            <v>H</v>
          </cell>
          <cell r="D550">
            <v>0.25</v>
          </cell>
        </row>
        <row r="551">
          <cell r="A551">
            <v>7045</v>
          </cell>
          <cell r="B551" t="str">
            <v>CONJUNTO MOTOR-BOMBA DIESEL PARA DRENAGEM DE AGUA SUJA - 6HP - JUROS</v>
          </cell>
          <cell r="C551" t="str">
            <v>H</v>
          </cell>
          <cell r="D551">
            <v>0.15</v>
          </cell>
        </row>
        <row r="552">
          <cell r="A552">
            <v>7046</v>
          </cell>
          <cell r="B552" t="str">
            <v>CONJUNTO MOTOR-BOMBA DIESEL PARA DRENAGEM DE AGUA SUJA - 6HP - MANUTENCAO</v>
          </cell>
          <cell r="C552" t="str">
            <v>H</v>
          </cell>
          <cell r="D552">
            <v>0.25</v>
          </cell>
        </row>
        <row r="553">
          <cell r="A553">
            <v>7047</v>
          </cell>
          <cell r="B553" t="str">
            <v>CONJUNTO MOTOR-BOMBA DIESEL PARA DRENAGEM DE AGUA SUJA - 6HP - CUSTOS COM MATERIAL NA OPERACAO</v>
          </cell>
          <cell r="C553" t="str">
            <v>H</v>
          </cell>
          <cell r="D553">
            <v>3.96</v>
          </cell>
        </row>
        <row r="554">
          <cell r="A554">
            <v>7048</v>
          </cell>
          <cell r="B554" t="str">
            <v>CONJUNTO MOTOR-BOMBA DIESEL PARA DRENAGEM DE AGUA SUJA - 6HP - MAO-DE-OBRA NA OPERACAO</v>
          </cell>
          <cell r="C554" t="str">
            <v>H</v>
          </cell>
          <cell r="D554">
            <v>17.920000000000002</v>
          </cell>
        </row>
        <row r="555">
          <cell r="A555">
            <v>7051</v>
          </cell>
          <cell r="B555" t="str">
            <v>ROLO COMPACTADOR VIBRATÓRIO PÉ DE CARNEIRO, POTÊNCIA 150HP, PESO OPERACIONAL 9,8 T, IMPACTO DINÂMICO 31,75 T - DEPRECIACAO</v>
          </cell>
          <cell r="C555" t="str">
            <v>H</v>
          </cell>
          <cell r="D555">
            <v>22.97</v>
          </cell>
        </row>
        <row r="556">
          <cell r="A556">
            <v>7052</v>
          </cell>
          <cell r="B556" t="str">
            <v>ROLO COMPACTADOR VIBRATÓRIO PÉ DE CARNEIRO, POTÊNCIA 150HP, PESO OPERACIONAL 9,8 T, IMPACTO DINÂMICO 31,75 T - JUROS</v>
          </cell>
          <cell r="C556" t="str">
            <v>H</v>
          </cell>
          <cell r="D556">
            <v>11.48</v>
          </cell>
        </row>
        <row r="557">
          <cell r="A557">
            <v>7053</v>
          </cell>
          <cell r="B557" t="str">
            <v>ROLO COMPACTADOR VIBRATÓRIO PÉ DE CARNEIRO, POTÊNCIA 150HP, PESO OPERACIONAL 9,8 T, IMPACTO DINÂMICO 31,75 T</v>
          </cell>
          <cell r="C557" t="str">
            <v>H</v>
          </cell>
          <cell r="D557">
            <v>20.68</v>
          </cell>
        </row>
        <row r="558">
          <cell r="A558">
            <v>7054</v>
          </cell>
          <cell r="B558" t="str">
            <v>ROLO COMPACTADOR VIBRATÓRIO PÉ DE CARNEIRO, POTÊNCIA 150HP, PESO OPERACIONAL 9,8 T, IMPACTO DINÂMICO 31,75 T - CUSTOS COM MATERIAL NA OPERACAO</v>
          </cell>
          <cell r="C558" t="str">
            <v>H</v>
          </cell>
          <cell r="D558">
            <v>59.2</v>
          </cell>
        </row>
        <row r="559">
          <cell r="A559">
            <v>7055</v>
          </cell>
          <cell r="B559" t="str">
            <v>ROLO COMPACTADOR AUTOPROPELIDO 127HP 10260KG - MAO-DE-OBRA NA OPERACAO</v>
          </cell>
          <cell r="C559" t="str">
            <v>H</v>
          </cell>
          <cell r="D559">
            <v>17.04</v>
          </cell>
        </row>
        <row r="560">
          <cell r="A560">
            <v>7058</v>
          </cell>
          <cell r="B560" t="str">
            <v>CAMINHAO BASCULANTE 4,0M3 152CV COM CAPACIDADE UTIL DE  8,5T - DEPRECIACAO</v>
          </cell>
          <cell r="C560" t="str">
            <v>H</v>
          </cell>
          <cell r="D560">
            <v>19.7</v>
          </cell>
        </row>
        <row r="561">
          <cell r="A561">
            <v>7059</v>
          </cell>
          <cell r="B561" t="str">
            <v>CAMINHAO BASCULANTE 4,0M3 CARGA UTIL 8,5T 152CV - JUROS</v>
          </cell>
          <cell r="C561" t="str">
            <v>H</v>
          </cell>
          <cell r="D561">
            <v>6.28</v>
          </cell>
        </row>
        <row r="562">
          <cell r="A562">
            <v>7060</v>
          </cell>
          <cell r="B562" t="str">
            <v>CAMINHAO BASCULANTE 4,0M3 CARGA UTIL 8,5T 152CV - MANUTENCAO</v>
          </cell>
          <cell r="C562" t="str">
            <v>H</v>
          </cell>
          <cell r="D562">
            <v>19.7</v>
          </cell>
        </row>
        <row r="563">
          <cell r="A563">
            <v>7061</v>
          </cell>
          <cell r="B563" t="str">
            <v>CAMINHAO BASCULANTE 4,0M3 CARGA UTIL 8,5T 152CV - CUSTOS COM MATERIAL NA OPERACAO</v>
          </cell>
          <cell r="C563" t="str">
            <v>H</v>
          </cell>
          <cell r="D563">
            <v>70.86</v>
          </cell>
        </row>
        <row r="564">
          <cell r="A564">
            <v>7062</v>
          </cell>
          <cell r="B564" t="str">
            <v>CAMINHAO BASCULANTE 4,0M3 CARGA UTIL 8,5T 152CV - MAO-DE-OBRA NA OPERACAO</v>
          </cell>
          <cell r="C564" t="str">
            <v>H</v>
          </cell>
          <cell r="D564">
            <v>16.100000000000001</v>
          </cell>
        </row>
        <row r="565">
          <cell r="A565">
            <v>7063</v>
          </cell>
          <cell r="B565" t="str">
            <v>TRATOR DE PNEUS 110 A 126 HP - DEPRECIACAO</v>
          </cell>
          <cell r="C565" t="str">
            <v>H</v>
          </cell>
          <cell r="D565">
            <v>19.54</v>
          </cell>
        </row>
        <row r="566">
          <cell r="A566">
            <v>7064</v>
          </cell>
          <cell r="B566" t="str">
            <v>TRATOR DE PNEUS 110 A 126 HP - JUROS</v>
          </cell>
          <cell r="C566" t="str">
            <v>H</v>
          </cell>
          <cell r="D566">
            <v>6.23</v>
          </cell>
        </row>
        <row r="567">
          <cell r="A567">
            <v>7065</v>
          </cell>
          <cell r="B567" t="str">
            <v>TRATOR DE PNEUS 110 A 126 HP - MANUTENCAO</v>
          </cell>
          <cell r="C567" t="str">
            <v>H</v>
          </cell>
          <cell r="D567">
            <v>15.63</v>
          </cell>
        </row>
        <row r="568">
          <cell r="A568">
            <v>7066</v>
          </cell>
          <cell r="B568" t="str">
            <v>TRATOR DE PNEUS 110 A 126 HP - CUSTOS COM MATERIAL NA OPERACAO</v>
          </cell>
          <cell r="C568" t="str">
            <v>H</v>
          </cell>
          <cell r="D568">
            <v>58.74</v>
          </cell>
        </row>
        <row r="569">
          <cell r="A569">
            <v>7067</v>
          </cell>
          <cell r="B569" t="str">
            <v>TRATOR DE PNEUS 110 A 126 HP - MAO-DE-OBRA NA OPERACAO DIURNA</v>
          </cell>
          <cell r="C569" t="str">
            <v>H</v>
          </cell>
          <cell r="D569">
            <v>18.739999999999998</v>
          </cell>
        </row>
        <row r="570">
          <cell r="A570">
            <v>53781</v>
          </cell>
          <cell r="B570" t="str">
            <v>CAMINHAO BASCULANTE 4,0M3 TOCO 162CV PBT=11800KG  - DEPRECIACAO</v>
          </cell>
          <cell r="C570" t="str">
            <v>H</v>
          </cell>
          <cell r="D570">
            <v>15.62</v>
          </cell>
        </row>
        <row r="571">
          <cell r="A571">
            <v>53782</v>
          </cell>
          <cell r="B571" t="str">
            <v>CAMINHAO BASCULANTE 4,0M3 TOCO 162CV PBT=11800KG - MANUTENCAO</v>
          </cell>
          <cell r="C571" t="str">
            <v>H</v>
          </cell>
          <cell r="D571">
            <v>15.62</v>
          </cell>
        </row>
        <row r="572">
          <cell r="A572">
            <v>53785</v>
          </cell>
          <cell r="B572" t="str">
            <v>CAMINHAO BASCULANTE 4,0M3 TOCO 162CV PBT=11800KG - MAO-DE-OBRA NA OPERACAO DIURNA</v>
          </cell>
          <cell r="C572" t="str">
            <v>H</v>
          </cell>
          <cell r="D572">
            <v>16.100000000000001</v>
          </cell>
        </row>
        <row r="573">
          <cell r="A573">
            <v>53786</v>
          </cell>
          <cell r="B573" t="str">
            <v>RETRO-ESCAVADEIRA, 4 X 4, 86 CV (VU= 5 ANOS) - MATERIAIS/OPERAÇÃO</v>
          </cell>
          <cell r="C573" t="str">
            <v>H</v>
          </cell>
          <cell r="D573">
            <v>35.43</v>
          </cell>
        </row>
        <row r="574">
          <cell r="A574">
            <v>53787</v>
          </cell>
          <cell r="B574" t="str">
            <v>ROLO COMPACTADOR VIBRATÓRIO DE CILINDRO LISO, AUTO-PROPEL.  80HP, PESO MÁXIMO OPERACIONAL 8,1T - CUSTO DE MATERIAIS NA OPERAÇÃO</v>
          </cell>
          <cell r="C574" t="str">
            <v>H</v>
          </cell>
          <cell r="D574">
            <v>60.6</v>
          </cell>
        </row>
        <row r="575">
          <cell r="A575">
            <v>53788</v>
          </cell>
          <cell r="B575" t="str">
            <v>ROLO COMPACTADOR VIBRATORIO DE CILINDRO LISO, AUTO-PROPELIDO  83 CV -  6,6T, IMPACTO DINAMICO 18,5/11,5T - CUSTO DE MATERIAIS NA OPERACAO</v>
          </cell>
          <cell r="C575" t="str">
            <v>H</v>
          </cell>
          <cell r="D575">
            <v>60.6</v>
          </cell>
        </row>
        <row r="576">
          <cell r="A576">
            <v>53789</v>
          </cell>
          <cell r="B576" t="str">
            <v>ROLO COMPACTADOR VIBRATÓRIO DE CILINDRO LISO, AUTO-PROPEL.  83 CV -  6,6T, IMPACTO DINÂMICO 18,5/11,5T - MAO-DE-OBRA  NA OPERACAO</v>
          </cell>
          <cell r="C576" t="str">
            <v>H</v>
          </cell>
          <cell r="D576">
            <v>17.04</v>
          </cell>
        </row>
        <row r="577">
          <cell r="A577">
            <v>53790</v>
          </cell>
          <cell r="B577" t="str">
            <v>ROLO COMPACTADOR VIBRATÓRIO, TANDEM, CILINDRO LISO, AUTO-PROPEL. - 40HP - 4,4T, IMPACTO DINÂMICO 3,1T, VU 5 ANOS - MAO DE OBRA NA OPERACAO.</v>
          </cell>
          <cell r="C577" t="str">
            <v>H</v>
          </cell>
          <cell r="D577">
            <v>17.04</v>
          </cell>
        </row>
        <row r="578">
          <cell r="A578">
            <v>53792</v>
          </cell>
          <cell r="B578" t="str">
            <v>CAMINHAO BASCULANTE ,162HP- 6M3 - OPERACAO DIURNA</v>
          </cell>
          <cell r="C578" t="str">
            <v>H</v>
          </cell>
          <cell r="D578">
            <v>60.6</v>
          </cell>
        </row>
        <row r="579">
          <cell r="A579">
            <v>53793</v>
          </cell>
          <cell r="B579" t="str">
            <v>CAMINHAO BASCULANTE ,162HP- 6M3 / MAO-DE-OBRA NA OPERACAO DIURNA</v>
          </cell>
          <cell r="C579" t="str">
            <v>H</v>
          </cell>
          <cell r="D579">
            <v>13.9</v>
          </cell>
        </row>
        <row r="580">
          <cell r="A580">
            <v>53794</v>
          </cell>
          <cell r="B580" t="str">
            <v>USINA DE CONCRETO FIXA CAPACIDADE 90/120 M³, 63HP - MANUTENÇÃO</v>
          </cell>
          <cell r="C580" t="str">
            <v>H</v>
          </cell>
          <cell r="D580">
            <v>18.59</v>
          </cell>
        </row>
        <row r="581">
          <cell r="A581">
            <v>53795</v>
          </cell>
          <cell r="B581" t="str">
            <v>USINA DE CONCRETO FIXA CAPACIDADE 90/120 M³, 63HP - MÃO-DE-OBRA NA OPERAÇÃO NOTURNA</v>
          </cell>
          <cell r="C581" t="str">
            <v>H</v>
          </cell>
          <cell r="D581">
            <v>43.98</v>
          </cell>
        </row>
        <row r="582">
          <cell r="A582">
            <v>53796</v>
          </cell>
          <cell r="B582" t="str">
            <v>CAMINHAO CARROCERIA ABERTA,EM MADEIRA, TOCO, 170CV - 11T (VU=6ANOS) - CHI DIURNO - DEPRECIACAO E JUROS</v>
          </cell>
          <cell r="C582" t="str">
            <v>H</v>
          </cell>
          <cell r="D582">
            <v>20.02</v>
          </cell>
        </row>
        <row r="583">
          <cell r="A583">
            <v>53797</v>
          </cell>
          <cell r="B583" t="str">
            <v>CAMINHAO CARROCERIA ABERTA,EM MADEIRA, TOCO, 170CV - 11T (VU=6ANOS) - MATERIAIS/OPERACAO</v>
          </cell>
          <cell r="C583" t="str">
            <v>H</v>
          </cell>
          <cell r="D583">
            <v>60.6</v>
          </cell>
        </row>
        <row r="584">
          <cell r="A584">
            <v>53798</v>
          </cell>
          <cell r="B584" t="str">
            <v>CAMINHAO CARROCERIA ABERTA,EM MADEIRA, TOCO, 170CV - 11T (VU=6ANOS) - MAO-DE-OBRA DIURNA NA OPERACAO</v>
          </cell>
          <cell r="C584" t="str">
            <v>H</v>
          </cell>
          <cell r="D584">
            <v>17.46</v>
          </cell>
        </row>
        <row r="585">
          <cell r="A585">
            <v>53799</v>
          </cell>
          <cell r="B585" t="str">
            <v>CAMINHAO CARROCERIA ABERTA,EM MADEIRA, TOCO, 170CV - 11T (VU=6ANOS) - CHI DIURNO - MAO-DE-OBRA NA OPERACAO NOTURNA</v>
          </cell>
          <cell r="C585" t="str">
            <v>H</v>
          </cell>
          <cell r="D585">
            <v>16.68</v>
          </cell>
        </row>
        <row r="586">
          <cell r="A586">
            <v>53800</v>
          </cell>
          <cell r="B586" t="str">
            <v>USINA MISTURADORA DE SOLOS, DOSADORES TRIPLOS, CALHA VIBRATÓRIA, CAPACIDADE 200/500 TON, 201HP - MATERIAIS NA OPERAÇÃO</v>
          </cell>
          <cell r="C586" t="str">
            <v>H</v>
          </cell>
          <cell r="D586">
            <v>20</v>
          </cell>
        </row>
        <row r="587">
          <cell r="A587">
            <v>53801</v>
          </cell>
          <cell r="B587" t="str">
            <v>USINA MISTURADORA DE SOLOS, DOSADORES TRIPLOS, CALHA VIBRATÓRIA, CAPCIDADE 200/500 TON, 201HP - MÃO-DE-OBRA NA OPERAÇÃO DIURNA</v>
          </cell>
          <cell r="C587" t="str">
            <v>H</v>
          </cell>
          <cell r="D587">
            <v>64.14</v>
          </cell>
        </row>
        <row r="588">
          <cell r="A588">
            <v>53802</v>
          </cell>
          <cell r="B588" t="str">
            <v>VIBROACABADORA SOBRE ESTEIRAS POTENCIA MAX. 105CV CAPACIDADE ATE 450 T/H - MAO-DE-OBRA NA OPERACAO DIURNA</v>
          </cell>
          <cell r="C588" t="str">
            <v>H</v>
          </cell>
          <cell r="D588">
            <v>17.04</v>
          </cell>
        </row>
        <row r="589">
          <cell r="A589">
            <v>53803</v>
          </cell>
          <cell r="B589" t="str">
            <v>VIBROACABADORA SOBRE ESTEIRAS POTENCIA MAX. 105CV CAPACIDADE ATE 450 T/H - MAO-DE-OBRA NA OPERACAO NOTURNA</v>
          </cell>
          <cell r="C589" t="str">
            <v>H</v>
          </cell>
          <cell r="D589">
            <v>20.45</v>
          </cell>
        </row>
        <row r="590">
          <cell r="A590">
            <v>53804</v>
          </cell>
          <cell r="B590" t="str">
            <v>VASSOURA MECÂNICA REBOCÁVEL C/ ESCOVA CILÍNDRICA LARGURA DE VARRIMENTO = 2,44M - MANUTENÇÃO</v>
          </cell>
          <cell r="C590" t="str">
            <v>H</v>
          </cell>
          <cell r="D590">
            <v>1.75</v>
          </cell>
        </row>
        <row r="591">
          <cell r="A591">
            <v>53805</v>
          </cell>
          <cell r="B591" t="str">
            <v>TRATOR PNEUS TRAÇÃO 4X2, 82 CV, PESO C/ LASTRO 4,555 T  - MAO-DE-OBRA OPERACAO NOTURNA</v>
          </cell>
          <cell r="C591" t="str">
            <v>H</v>
          </cell>
          <cell r="D591">
            <v>22.49</v>
          </cell>
        </row>
        <row r="592">
          <cell r="A592">
            <v>53806</v>
          </cell>
          <cell r="B592" t="str">
            <v>TRATOR DE ESTEIRAS POTENCIA 165 HP, PESO OPERACIONAL 17,1T (VU=5ANOS) - MANUTENCAO</v>
          </cell>
          <cell r="C592" t="str">
            <v>H</v>
          </cell>
          <cell r="D592">
            <v>73.45</v>
          </cell>
        </row>
        <row r="593">
          <cell r="A593">
            <v>53807</v>
          </cell>
          <cell r="B593" t="str">
            <v>TRATOR DE ESTEIRAS POTENCIA 165 HP, PESO OPERACIONAL 17,1T - MAO-DE-OBRA NA OPERACAO DIURNA</v>
          </cell>
          <cell r="C593" t="str">
            <v>H</v>
          </cell>
          <cell r="D593">
            <v>17.920000000000002</v>
          </cell>
        </row>
        <row r="594">
          <cell r="A594">
            <v>53808</v>
          </cell>
          <cell r="B594" t="str">
            <v>TRATOR DE ESTEIRAS POTENCIA 165 HP, PESO OPERACIONAL 17,1T - MAO-DE-OBRA NA OPERACAO NOTURNA</v>
          </cell>
          <cell r="C594" t="str">
            <v>H</v>
          </cell>
          <cell r="D594">
            <v>22.49</v>
          </cell>
        </row>
        <row r="595">
          <cell r="A595">
            <v>53810</v>
          </cell>
          <cell r="B595" t="str">
            <v>TRATOR DE ESTEIRAS 153HP PESO OPERACIONAL 15T, COM RODA MOTRIZ ELEVADA (VU=5ANOS) - MANUTENCAO</v>
          </cell>
          <cell r="C595" t="str">
            <v>H</v>
          </cell>
          <cell r="D595">
            <v>75.349999999999994</v>
          </cell>
        </row>
        <row r="596">
          <cell r="A596">
            <v>53811</v>
          </cell>
          <cell r="B596" t="str">
            <v>TRATOR DE ESTEIRAS 153HP PESO OPERACIONAL 15T, COM RODA MOTRIZ ELEVADA - MA0-DE-OBRA NA OPERACAO DIURNA</v>
          </cell>
          <cell r="C596" t="str">
            <v>H</v>
          </cell>
          <cell r="D596">
            <v>18.739999999999998</v>
          </cell>
        </row>
        <row r="597">
          <cell r="A597">
            <v>53812</v>
          </cell>
          <cell r="B597" t="str">
            <v>TRATOR DE ESTEIRAS 153HP PESO OPERACIONAL 15T, COM RODA MOTRIZ ELEVADA - MA0-DE-OBRA NA OPERACAO NOTURNA</v>
          </cell>
          <cell r="C597" t="str">
            <v>H</v>
          </cell>
          <cell r="D597">
            <v>22.49</v>
          </cell>
        </row>
        <row r="598">
          <cell r="A598">
            <v>53813</v>
          </cell>
          <cell r="B598" t="str">
            <v>TRATOR DE ESTEIRAS COM LAMINA - POTENCIA 305 HP - PESO OPERACIONAL 37 T (VU=5ANOS) -DEPRECIACAO E JUROS</v>
          </cell>
          <cell r="C598" t="str">
            <v>H</v>
          </cell>
          <cell r="D598">
            <v>251.94</v>
          </cell>
        </row>
        <row r="599">
          <cell r="A599">
            <v>53814</v>
          </cell>
          <cell r="B599" t="str">
            <v>TRATOR DE ESTEIRAS COM LAMINA - POTENCIA 305 HP - PESO OPERACIONAL 37 T (VU=5ANOS) - MANUTENCAO</v>
          </cell>
          <cell r="C599" t="str">
            <v>H</v>
          </cell>
          <cell r="D599">
            <v>191.01</v>
          </cell>
        </row>
        <row r="600">
          <cell r="A600">
            <v>53815</v>
          </cell>
          <cell r="B600" t="str">
            <v>TRATOR DE ESTEIRAS COM LAMINA - POTENCIA 305 HP - PESO OPERACIONAL 37 T  - MAO-DE-OBRA NA OPERACAO DIURNA</v>
          </cell>
          <cell r="C600" t="str">
            <v>H</v>
          </cell>
          <cell r="D600">
            <v>18.739999999999998</v>
          </cell>
        </row>
        <row r="601">
          <cell r="A601">
            <v>53816</v>
          </cell>
          <cell r="B601" t="str">
            <v>TRATOR SOBRE ESTEIRAS 305HP - MAO-DE-OBRA NA OPERACAO NOTURNA</v>
          </cell>
          <cell r="C601" t="str">
            <v>H</v>
          </cell>
          <cell r="D601">
            <v>22.49</v>
          </cell>
        </row>
        <row r="602">
          <cell r="A602">
            <v>53817</v>
          </cell>
          <cell r="B602" t="str">
            <v>TRATOR DE ESTEIRAS 99HP, PESO OPERACIONAL 8,5T  - MATERIAIS NA OPERACAO</v>
          </cell>
          <cell r="C602" t="str">
            <v>H</v>
          </cell>
          <cell r="D602">
            <v>37.29</v>
          </cell>
        </row>
        <row r="603">
          <cell r="A603">
            <v>53818</v>
          </cell>
          <cell r="B603" t="str">
            <v>ROLO COMPACTADOR VIBRATÓRIO REBOCÁVEL AÇO LISO, PESO 4,7T, IMPACTO DINÂMICO 18,3T - DEPRECIAÇÃO E JUROS</v>
          </cell>
          <cell r="C603" t="str">
            <v>H</v>
          </cell>
          <cell r="D603">
            <v>7.87</v>
          </cell>
        </row>
        <row r="604">
          <cell r="A604">
            <v>53819</v>
          </cell>
          <cell r="B604" t="str">
            <v>ROLO COMPACTADOR VIBRATÓRIO REBOCÁVEL AÇO LISO, PESO 4,7T, IMPACTO DINÂMICO 18,3T - CUSTO COM MATERIAIS NA OPERACAO</v>
          </cell>
          <cell r="C604" t="str">
            <v>H</v>
          </cell>
          <cell r="D604">
            <v>35.43</v>
          </cell>
        </row>
        <row r="605">
          <cell r="A605">
            <v>53820</v>
          </cell>
          <cell r="B605" t="str">
            <v>ROLO COMPACTADOR VIBRATÓRIO REBOCÁVEL AÇO LISO, PESO 4,7T, IMPACTO DINÂMICO 18,3T - CUSTO COM MAO-DE-OBRA NA OPERACAO DIURNA</v>
          </cell>
          <cell r="C605" t="str">
            <v>H</v>
          </cell>
          <cell r="D605">
            <v>17.04</v>
          </cell>
        </row>
        <row r="606">
          <cell r="A606">
            <v>53821</v>
          </cell>
          <cell r="B606" t="str">
            <v>ROLO COMPACTADOR VIBRATÓRIO REBOCÁVEL AÇO LISO, PESO 4,7T, IMPACTO DINÂMICO 18,3T - CUSTO COM MÃO -DE-OBRA NA OPERAÇÃO NOTURNA</v>
          </cell>
          <cell r="C606" t="str">
            <v>H</v>
          </cell>
          <cell r="D606">
            <v>20.45</v>
          </cell>
        </row>
        <row r="607">
          <cell r="A607">
            <v>53822</v>
          </cell>
          <cell r="B607" t="str">
            <v>ROLO COMPACTADOR VIBRATÓRIO TANDEM AÇO LISO, POTÊNCIA 58CV, PESO SEM/COM LASTRO 6,5/9,4 T - CUSTO COM MÃO-DE-OBRA NA OPERAÇÃO DIURNA</v>
          </cell>
          <cell r="C607" t="str">
            <v>H</v>
          </cell>
          <cell r="D607">
            <v>17.04</v>
          </cell>
        </row>
        <row r="608">
          <cell r="A608">
            <v>53823</v>
          </cell>
          <cell r="B608" t="str">
            <v>ROLO COMPACTADOR DE PNEUS ESTÁTICO PARA ASFALTO, PRESSÃO VARIÁVEL, POTÊNCIA 99HP, PESO OPERACIONAL SEM/COM LASTRO 8,3/21,0 T - DEPRECIAÇÃO E JUROS</v>
          </cell>
          <cell r="C608" t="str">
            <v>H</v>
          </cell>
          <cell r="D608">
            <v>37</v>
          </cell>
        </row>
        <row r="609">
          <cell r="A609">
            <v>53824</v>
          </cell>
          <cell r="B609" t="str">
            <v>ROLO COMPACTADOR DE PNEUS ESTATICO PARA ASFALTO, PRESSAO VARIAVEL, POTENCIA 99HP, PESO OPERACIONAL SEM/COM LASTRO 8,3/21,0 T - CUSTO COM MAO -DE-OBRA NA OPERACAO DIURNA</v>
          </cell>
          <cell r="C609" t="str">
            <v>H</v>
          </cell>
          <cell r="D609">
            <v>17.04</v>
          </cell>
        </row>
        <row r="610">
          <cell r="A610">
            <v>53825</v>
          </cell>
          <cell r="B610" t="str">
            <v>ROLO COMPACTADOR DE PNEUS ESTÁTICO PARA ASFALTO, PRESSÃO VARIÁVEL, POTÊNCIA 99HP, PESO OPERACIONAL SEM/COM LASTRO 8,3/21,0 T - CUSTO COM MATERIAIS NA OPERAÇÃO NOTURNA</v>
          </cell>
          <cell r="C610" t="str">
            <v>H</v>
          </cell>
          <cell r="D610">
            <v>17.04</v>
          </cell>
        </row>
        <row r="611">
          <cell r="A611">
            <v>53827</v>
          </cell>
          <cell r="B611" t="str">
            <v>CAMINHAO TOCO, 177CV - 14T (VU=6ANOS) (NAO INCLUI CARROCERIA) - CUSTO HORARIO DE MATERIAIS NA OPERACAO</v>
          </cell>
          <cell r="C611" t="str">
            <v>H</v>
          </cell>
          <cell r="D611">
            <v>61.53</v>
          </cell>
        </row>
        <row r="612">
          <cell r="A612">
            <v>53828</v>
          </cell>
          <cell r="B612" t="str">
            <v>CAMINHAO TOCO, 177CV - 14T (VU=6ANOS) (NAO INCLUI CARROCERIA) - MAO-DE-OBRA DIURNA NA OPERACAO</v>
          </cell>
          <cell r="C612" t="str">
            <v>H</v>
          </cell>
          <cell r="D612">
            <v>17.46</v>
          </cell>
        </row>
        <row r="613">
          <cell r="A613">
            <v>53829</v>
          </cell>
          <cell r="B613" t="str">
            <v>CAMINHAO TOCO, 170CV - 11T (VU=6ANOS) (NAO INCLUI CARROCERIA) - CUSTO HORARIO DE MATERIAIS NA OPERACAO</v>
          </cell>
          <cell r="C613" t="str">
            <v>H</v>
          </cell>
          <cell r="D613">
            <v>60.6</v>
          </cell>
        </row>
        <row r="614">
          <cell r="A614">
            <v>53830</v>
          </cell>
          <cell r="B614" t="str">
            <v>CAMINHAO TOCO, 170CV - 11T (VU=6ANOS) (NAO INCLUI CARROCERIA) - MAO-DE-OBRA NA OPERACAO NOTURNA</v>
          </cell>
          <cell r="C614" t="str">
            <v>H</v>
          </cell>
          <cell r="D614">
            <v>20.95</v>
          </cell>
        </row>
        <row r="615">
          <cell r="A615">
            <v>53831</v>
          </cell>
          <cell r="B615" t="str">
            <v>CAMINHAO PIPA 10000L TRUCADO, 208CV - 21,1T (VU=6ANOS) (INCLUI TANQUE DE ACO PARA TRANSPORTE DE AGUA E MOTOBOMBA CENTRIFUGA A GASOLINA 3,5CV) - CUSTO HORARIO DE MATERIAIS NA OPERACAO</v>
          </cell>
          <cell r="C615" t="str">
            <v>H</v>
          </cell>
          <cell r="D615">
            <v>60.67</v>
          </cell>
        </row>
        <row r="616">
          <cell r="A616">
            <v>53832</v>
          </cell>
          <cell r="B616" t="str">
            <v>CAMINHAO PIPA 10000L TRUCADO, 208CV - 21,1T (VU=6ANOS) (INCLUI TANQUE DE ACO PARA TRANSPORTE DE AGUA E MOTOBOMBA CENTRIFUGA A GASOLINA 3,5CV) - MAO-DE-OBRA DIURNA NA OPERACAO</v>
          </cell>
          <cell r="C616" t="str">
            <v>H</v>
          </cell>
          <cell r="D616">
            <v>17.46</v>
          </cell>
        </row>
        <row r="617">
          <cell r="A617">
            <v>53833</v>
          </cell>
          <cell r="B617" t="str">
            <v>DISTRIBUIDOR DE AGREGADO TIPO DOSADOR REBOCAVEL  COM 4 PNEUS COM LARGURA 3,66 M - DEPRECIACAO E JUROS</v>
          </cell>
          <cell r="C617" t="str">
            <v>H</v>
          </cell>
          <cell r="D617">
            <v>12.42</v>
          </cell>
        </row>
        <row r="618">
          <cell r="A618">
            <v>53834</v>
          </cell>
          <cell r="B618" t="str">
            <v>DISTRIBUIDOR DE AGREGADO TIPO DOSADOR REBOCAVEL  COM 4 PNEUS COM LARGURA 3,66 M - MANUTENCAO</v>
          </cell>
          <cell r="C618" t="str">
            <v>H</v>
          </cell>
          <cell r="D618">
            <v>4.5</v>
          </cell>
        </row>
        <row r="619">
          <cell r="A619">
            <v>53835</v>
          </cell>
          <cell r="B619" t="str">
            <v>DISTRIBUIDOR DE BETUME COM TANQUE DE 2500L, REBOCAVEL, PNEUMATICO COM MOTOR A GASOLINA 3,4HP -  DEPRECIACAO E JUROS</v>
          </cell>
          <cell r="C619" t="str">
            <v>H</v>
          </cell>
          <cell r="D619">
            <v>14.49</v>
          </cell>
        </row>
        <row r="620">
          <cell r="A620">
            <v>53836</v>
          </cell>
          <cell r="B620" t="str">
            <v>DISTRIBUIDOR DE ASFALTO MONTADO SOBRE CAMINHAO TOCO 162 HP, COM TANQUE ISOLADO 6 M3 COM BARRA ESPARGIDORA  DE 3,66 M - DEPRECIACAO E JUROS</v>
          </cell>
          <cell r="C620" t="str">
            <v>H</v>
          </cell>
          <cell r="D620">
            <v>58.79</v>
          </cell>
        </row>
        <row r="621">
          <cell r="A621">
            <v>53837</v>
          </cell>
          <cell r="B621" t="str">
            <v>DISTRIBUIDOR DE ASFALTO MONTADO SOBRE CAMINHAO TOCO 162 HP, COM TANQUE ISOLADO 6 M3 COM BARRA ESPARGIDORA  DE 3,66 M - CUSTO C/ MATERIAIS NA OPERACAO</v>
          </cell>
          <cell r="C621" t="str">
            <v>H</v>
          </cell>
          <cell r="D621">
            <v>90.9</v>
          </cell>
        </row>
        <row r="622">
          <cell r="A622">
            <v>53840</v>
          </cell>
          <cell r="B622" t="str">
            <v>GRADE DE DISCO REBOCÁVEL 20X24" COM 20 DISCOS DIAM 24X6MM COM PNEUS PARA TRANSPORTE - DEPRECIAÇÃO. AF_01/2014</v>
          </cell>
          <cell r="C622" t="str">
            <v>H</v>
          </cell>
          <cell r="D622">
            <v>1.66</v>
          </cell>
        </row>
        <row r="623">
          <cell r="A623">
            <v>53841</v>
          </cell>
          <cell r="B623" t="str">
            <v>GRADE DE DISCO REBOCÁVEL 20X24" COM 20 DISCOS DIAM 24X6MM COM PNEUS PARA TRANSPORTE - MANUTENÇÃO. AF_01/2014</v>
          </cell>
          <cell r="C623" t="str">
            <v>H</v>
          </cell>
          <cell r="D623">
            <v>1.05</v>
          </cell>
        </row>
        <row r="624">
          <cell r="A624">
            <v>53842</v>
          </cell>
          <cell r="B624" t="str">
            <v>LANCA ELEVATORIA TELESCOPICA DE ACIONAMENTO HIDRAULICO, CAPACIDADE DE CARGA 30.000 KG, COM CESTO, MONTADA SOBRE CAMINHAO TRUCADO - DEPRECIACAO E JUROS</v>
          </cell>
          <cell r="C624" t="str">
            <v>H</v>
          </cell>
          <cell r="D624">
            <v>216.66</v>
          </cell>
        </row>
        <row r="625">
          <cell r="A625">
            <v>53843</v>
          </cell>
          <cell r="B625" t="str">
            <v>LANCA ELEVATORIA TELESCOPICA DE ACIONAMENTO HIDRAULICO, CAPACIDADE DE CARGA 30.000 KG, COM CESTO, MONTADA SOBRE CAMINHAO TRUCADO - CUSTO COM MA0-DE-OBRA NA OPERACAO DIURNA</v>
          </cell>
          <cell r="C625" t="str">
            <v>H</v>
          </cell>
          <cell r="D625">
            <v>17.46</v>
          </cell>
        </row>
        <row r="626">
          <cell r="A626">
            <v>53844</v>
          </cell>
          <cell r="B626" t="str">
            <v>LANCA ELEVATORIA TELESCOPICA DE ACIONAMENTO HIDRAULICO, CAPACIDADE DE CARGA 30.000 KG, COM CESTO, MONTADA SOBRE CAMINHAO TRUCADO - CUSTO COM MA0-DE-OBRA NA OPERACAO NOTURNA</v>
          </cell>
          <cell r="C626" t="str">
            <v>H</v>
          </cell>
          <cell r="D626">
            <v>20.95</v>
          </cell>
        </row>
        <row r="627">
          <cell r="A627">
            <v>53845</v>
          </cell>
          <cell r="B627" t="str">
            <v>GUINDASTE MUNK COM CESTO, CARGA MAXIMA 5,75T (A 2M) E 2,3T ( A 5M), ALTURA MAXIMA = 7,9M, MONTADO SOBRE CAMINHAO DE CARROCERIA 162HP - DEPRECIACAO E JUROS</v>
          </cell>
          <cell r="C627" t="str">
            <v>H</v>
          </cell>
          <cell r="D627">
            <v>27.6</v>
          </cell>
        </row>
        <row r="628">
          <cell r="A628">
            <v>53846</v>
          </cell>
          <cell r="B628" t="str">
            <v>GUINDASTE MUNK COM CESTO, CARGA MAXIMA 5,75T (A 2M) E 2,3T ( A 5M), ALTURA MAXIMA = 7,9M, MONTADO SOBRE CAMINHAO DE CARROCERIA 162HP - CUSTO COM MATERIAIS NA OPERACAO</v>
          </cell>
          <cell r="C628" t="str">
            <v>H</v>
          </cell>
          <cell r="D628">
            <v>60.6</v>
          </cell>
        </row>
        <row r="629">
          <cell r="A629">
            <v>53847</v>
          </cell>
          <cell r="B629" t="str">
            <v>GUINDASTE MUNK COM CESTO, CARGA MAXIMA 5,75T (A 2M) E 2,3T ( A 5M), ALTURA MAXIMA = 7,9M, MONTADO SOBRE CAMINHAO DE CARROCERIA FORD 162HP - CUSTO COM MA0-DE-0BRA NA OPERACAO DIURNA</v>
          </cell>
          <cell r="C629" t="str">
            <v>H</v>
          </cell>
          <cell r="D629">
            <v>17.46</v>
          </cell>
        </row>
        <row r="630">
          <cell r="A630">
            <v>53848</v>
          </cell>
          <cell r="B630" t="str">
            <v>GUINDASTE MUNK COM CESTO, CARGA MAXIMA 5,75T (A 2M) E 2,3T ( A 5M), ALTURA MAXIMA = 7,9M, MONTADO SOBRE CAMINHAO DE CARROCERIA FORD 162HP - CUSTO C/MA0-DE-0BRA NA OPERCAO NOTURNA</v>
          </cell>
          <cell r="C630" t="str">
            <v>H</v>
          </cell>
          <cell r="D630">
            <v>20.95</v>
          </cell>
        </row>
        <row r="631">
          <cell r="A631">
            <v>53849</v>
          </cell>
          <cell r="B631" t="str">
            <v>MOTONIVELADORA 140HP PESO OPERACIONAL 12,5T  - CUSTO COM MATERIAIS NA OPERACAO</v>
          </cell>
          <cell r="C631" t="str">
            <v>H</v>
          </cell>
          <cell r="D631">
            <v>65.260000000000005</v>
          </cell>
        </row>
        <row r="632">
          <cell r="A632">
            <v>53850</v>
          </cell>
          <cell r="B632" t="str">
            <v>MOTONIVELADORA 140HP PESO OPERACIONAL 12,5T - MAO-DE-OBRA NA OPERACAO DIURNA</v>
          </cell>
          <cell r="C632" t="str">
            <v>H</v>
          </cell>
          <cell r="D632">
            <v>18.690000000000001</v>
          </cell>
        </row>
        <row r="633">
          <cell r="A633">
            <v>53851</v>
          </cell>
          <cell r="B633" t="str">
            <v>MOTONIVELADORA 140HP -MAO-DE-OBRA NA OPERACAO NOTURNA</v>
          </cell>
          <cell r="C633" t="str">
            <v>H</v>
          </cell>
          <cell r="D633">
            <v>22.43</v>
          </cell>
        </row>
        <row r="634">
          <cell r="A634">
            <v>53852</v>
          </cell>
          <cell r="B634" t="str">
            <v>MOTOSCRAPER  270HP -CUSTO COM MA0-DE-0BRA NA OPERACAO NOTURNA</v>
          </cell>
          <cell r="C634" t="str">
            <v>H</v>
          </cell>
          <cell r="D634">
            <v>20.45</v>
          </cell>
        </row>
        <row r="635">
          <cell r="A635">
            <v>53857</v>
          </cell>
          <cell r="B635" t="str">
            <v>PA CARREGADEIRA SOBRE RODAS 105 HP - CAPACIDADE DA CACAMBA 1,4 A 1,7 M3 - PESO OPERACIONAL 9.100 KG  (VU=5ANOS)  - MANUTENCAO</v>
          </cell>
          <cell r="C635" t="str">
            <v>H</v>
          </cell>
          <cell r="D635">
            <v>32.96</v>
          </cell>
        </row>
        <row r="636">
          <cell r="A636">
            <v>53858</v>
          </cell>
          <cell r="B636" t="str">
            <v>PA CARREGADEIRA SOBRE RODAS 105 HP - CAPACIDADE DA CACAMBA 1,4 A 1,7 M3 - PESO OPERACIONAL 9.100 KG - CUSTO C/ MATERIAIS NA OPERACAO</v>
          </cell>
          <cell r="C636" t="str">
            <v>H</v>
          </cell>
          <cell r="D636">
            <v>46.62</v>
          </cell>
        </row>
        <row r="637">
          <cell r="A637">
            <v>53860</v>
          </cell>
          <cell r="B637" t="str">
            <v>PA CARREGADEIRA SOBRE RODAS 105 HP - CAPACIDADE DA CACAMBA 1,4 A 1,7 M3 - PESO OPERACIONAL 9.100 KG - CUSTO C/ MAO-DE-OBRA NA OPERACAO NOTURNA</v>
          </cell>
          <cell r="C637" t="str">
            <v>H</v>
          </cell>
          <cell r="D637">
            <v>22.01</v>
          </cell>
        </row>
        <row r="638">
          <cell r="A638">
            <v>53861</v>
          </cell>
          <cell r="B638" t="str">
            <v>PA CARREGADEIRA SOBRE RODAS 180 HP - CAPACIDADE DA CACAMBA. 2,5 A 3,3 M3 - PESO OPERACIONAL 17.428  (VU=5ANOS)  - MANUTENCAO</v>
          </cell>
          <cell r="C638" t="str">
            <v>H</v>
          </cell>
          <cell r="D638">
            <v>61.91</v>
          </cell>
        </row>
        <row r="639">
          <cell r="A639">
            <v>53862</v>
          </cell>
          <cell r="B639" t="str">
            <v>ROLO COMPACTADOR VIBRATÓRIO DE UM CILINDRO AÇO LISO, POTÊNCIA 80HP, PESO OPERACIONAL 8,1T - CUSTO DA MÃO-DE-OBRA NA OPERAÇÃO DIURNA</v>
          </cell>
          <cell r="C639" t="str">
            <v>H</v>
          </cell>
          <cell r="D639">
            <v>41.71</v>
          </cell>
        </row>
        <row r="640">
          <cell r="A640">
            <v>53863</v>
          </cell>
          <cell r="B640" t="str">
            <v>MARTELETE OU ROMPEDOR PNEUMÁTICO MANUAL 28KG, FREQUENCIA DE IMPACTO 1230/MINUTO - MANUTENÇÃO</v>
          </cell>
          <cell r="C640" t="str">
            <v>H</v>
          </cell>
          <cell r="D640">
            <v>1.0900000000000001</v>
          </cell>
        </row>
        <row r="641">
          <cell r="A641">
            <v>53864</v>
          </cell>
          <cell r="B641" t="str">
            <v>COMPRESSOR DE AR REBOCAVEL, DESCARGA LIVRE EFETIVA 180PCM, PRESSAO DE TRABALHO 102 PSI, MOTOR A DIESEL 89CV - DEPRECIACAO E JUROS</v>
          </cell>
          <cell r="C641" t="str">
            <v>H</v>
          </cell>
          <cell r="D641">
            <v>12.22</v>
          </cell>
        </row>
        <row r="642">
          <cell r="A642">
            <v>53865</v>
          </cell>
          <cell r="B642" t="str">
            <v>COMPRESSOR DE AR REBOCAVEL, DESCARGA LIVRE EFETIVA 180PCM, PRESSAO DE TRABALHO 102 PSI, MOTOR A DIESEL 89CV - CUSTO HORARIO DE MATERIAIS NA OPERACAO</v>
          </cell>
          <cell r="C642" t="str">
            <v>H</v>
          </cell>
          <cell r="D642">
            <v>37.29</v>
          </cell>
        </row>
        <row r="643">
          <cell r="A643">
            <v>53866</v>
          </cell>
          <cell r="B643" t="str">
            <v>BOMBA ELETRICA SUBMERSA MONOFASICA 3CV - MATERIAIS NA OPERACAO</v>
          </cell>
          <cell r="C643" t="str">
            <v>H</v>
          </cell>
          <cell r="D643">
            <v>0.57999999999999996</v>
          </cell>
        </row>
        <row r="644">
          <cell r="A644">
            <v>53867</v>
          </cell>
          <cell r="B644" t="str">
            <v>COMPACTADOR DE SOLOS COM PLACA VIBRATORIA, 46X51CM, 5HP, 156KG, DIESEL, IMPACTO DINAMICO 1700KG - MAO-DE-OBRA NOTURNA NA OPERACAO</v>
          </cell>
          <cell r="C644" t="str">
            <v>H</v>
          </cell>
          <cell r="D644">
            <v>10.99</v>
          </cell>
        </row>
        <row r="645">
          <cell r="A645">
            <v>53881</v>
          </cell>
          <cell r="B645" t="str">
            <v>CAMINHAO BASCULANTE - 5,0 M3 - 170CV - 11,24T (VU=5ANOS) - MANUTENCAO</v>
          </cell>
          <cell r="C645" t="str">
            <v>H</v>
          </cell>
          <cell r="D645">
            <v>28.27</v>
          </cell>
        </row>
        <row r="646">
          <cell r="A646">
            <v>53882</v>
          </cell>
          <cell r="B646" t="str">
            <v>CAMINHAO PIPA 6000L TOCO, 162CV - 7,5T (VU=6ANOS) (INCLUI TANQUE DE ACO PARA TRANSPORTE DE AGUA) - MANUTENCAO</v>
          </cell>
          <cell r="C646" t="str">
            <v>H</v>
          </cell>
          <cell r="D646">
            <v>8.6300000000000008</v>
          </cell>
        </row>
        <row r="647">
          <cell r="A647">
            <v>55147</v>
          </cell>
          <cell r="B647" t="str">
            <v>MAO-DE-OBRA NA OPERACAO-ROLO COMPACTADOR PNEUS MULLER AP-23 111HP     AUTO-PROPELIDO PESO SEM/COM LASTRO 8/23T</v>
          </cell>
          <cell r="C647" t="str">
            <v>H</v>
          </cell>
          <cell r="D647">
            <v>51.14</v>
          </cell>
        </row>
        <row r="648">
          <cell r="A648">
            <v>55255</v>
          </cell>
          <cell r="B648" t="str">
            <v>EXTRUSORA DE GUIAS E SARJETAS 14HP - CUSTOS COM MATERIAL NA OPERACAO DIURNA</v>
          </cell>
          <cell r="C648" t="str">
            <v>H</v>
          </cell>
          <cell r="D648">
            <v>5.23</v>
          </cell>
        </row>
        <row r="649">
          <cell r="A649">
            <v>55263</v>
          </cell>
          <cell r="B649" t="str">
            <v>ROLO COMPACTADOR PNEUMATICO AUTO-PROPELIDO 111HP   8/23T - CUSTOS COM MATERIAL NA OPERACAO</v>
          </cell>
          <cell r="C649" t="str">
            <v>H</v>
          </cell>
          <cell r="D649">
            <v>51.74</v>
          </cell>
        </row>
        <row r="650">
          <cell r="A650">
            <v>55264</v>
          </cell>
          <cell r="B650" t="str">
            <v>TRATOR DE PNEUS 110 A 126 HP - MAO-DE-OBRA NA OPERACAO NOTURNA</v>
          </cell>
          <cell r="C650" t="str">
            <v>H</v>
          </cell>
          <cell r="D650">
            <v>9.5</v>
          </cell>
        </row>
        <row r="651">
          <cell r="A651">
            <v>65695</v>
          </cell>
          <cell r="B651" t="str">
            <v>ROLO COMPACTADOR PNEUMATICO AUTOPROPELIDO 111HP 11TON - CUSTOS COM MATERIAL NA OPERACAO DIURNA</v>
          </cell>
          <cell r="C651" t="str">
            <v>H</v>
          </cell>
          <cell r="D651">
            <v>51.74</v>
          </cell>
        </row>
        <row r="652">
          <cell r="A652">
            <v>67825</v>
          </cell>
          <cell r="B652" t="str">
            <v>CAMINHAO BASCULANTE COM 4,0 M3,  8,5 T - 152 CV - CUSTOS COM MATERIAL NA OPERACAO</v>
          </cell>
          <cell r="C652" t="str">
            <v>H</v>
          </cell>
          <cell r="D652">
            <v>63.4</v>
          </cell>
        </row>
        <row r="653">
          <cell r="A653">
            <v>73286</v>
          </cell>
          <cell r="B653" t="str">
            <v>DEPRECIAO E JUROS-AQUECEDOR DE FLUIDO TERMICO C/CALDEIRA</v>
          </cell>
          <cell r="C653" t="str">
            <v>H</v>
          </cell>
          <cell r="D653">
            <v>7.21</v>
          </cell>
        </row>
        <row r="654">
          <cell r="A654">
            <v>73289</v>
          </cell>
          <cell r="B654" t="str">
            <v>CUSTOS C/MATRIAL-AQUECEDOR DE FLUIDO TERMICO C/CALDEIRA</v>
          </cell>
          <cell r="C654" t="str">
            <v>H</v>
          </cell>
          <cell r="D654">
            <v>2.64</v>
          </cell>
        </row>
        <row r="655">
          <cell r="A655">
            <v>73291</v>
          </cell>
          <cell r="B655" t="str">
            <v>MANUTENCAO-AQUECEDOR DE FLUIDO TERMICO C/CALDEIRA</v>
          </cell>
          <cell r="C655" t="str">
            <v>H</v>
          </cell>
          <cell r="D655">
            <v>3.36</v>
          </cell>
        </row>
        <row r="656">
          <cell r="A656">
            <v>73296</v>
          </cell>
          <cell r="B656" t="str">
            <v>ALUGUEL ELEVADOR EQUIPADO P/TRANSP CONCR A 10M ALT-CP-S/OPERADOR COM  GUINCHO DE 10CV 16M TORRE DESMONTAVEL CACAMBA AUTOMATICA DE 550L FUNILP/DESCARGA E SILO DE ESPERA DE 1000L</v>
          </cell>
          <cell r="C656" t="str">
            <v>H</v>
          </cell>
          <cell r="D656">
            <v>6.9</v>
          </cell>
        </row>
        <row r="657">
          <cell r="A657">
            <v>73298</v>
          </cell>
          <cell r="B657" t="str">
            <v>VIBRADOR DE IMERSAO MOTOR ELETR 2CV (CP) TUBO DE 48X48 C/MANGOTE      DE 5M COMP -EXCL OPERADOR</v>
          </cell>
          <cell r="C657" t="str">
            <v>H</v>
          </cell>
          <cell r="D657">
            <v>1.26</v>
          </cell>
        </row>
        <row r="658">
          <cell r="A658">
            <v>73299</v>
          </cell>
          <cell r="B658" t="str">
            <v>VIBRADOR DE IMERSAO MOTOR ELETR 2CV (CI) TUBO 48X480MM C/MANGOTE      DE 5M COMP - EXCL OPERADOR</v>
          </cell>
          <cell r="C658" t="str">
            <v>H</v>
          </cell>
          <cell r="D658">
            <v>0.99</v>
          </cell>
        </row>
        <row r="659">
          <cell r="A659">
            <v>73300</v>
          </cell>
          <cell r="B659" t="str">
            <v>ALUGUEL ELEVADOR EQUIPADO P/TRANSP CONCR A 10M ALT-CI-S/OPERADOR COM  GUINCHO DE 10CV 16M TORRE DESMONTAVEL CACAMBA AUTOMATICA DE 550L FUNILP/DESCARGA E SILO ESPERA DE 1000L</v>
          </cell>
          <cell r="C659" t="str">
            <v>H</v>
          </cell>
          <cell r="D659">
            <v>4.01</v>
          </cell>
        </row>
        <row r="660">
          <cell r="A660">
            <v>73303</v>
          </cell>
          <cell r="B660" t="str">
            <v>DEPRECIAO E JUROS - GRUPO GERADOR 150 KVA</v>
          </cell>
          <cell r="C660" t="str">
            <v>H</v>
          </cell>
          <cell r="D660">
            <v>5.22</v>
          </cell>
        </row>
        <row r="661">
          <cell r="A661">
            <v>73304</v>
          </cell>
          <cell r="B661" t="str">
            <v>CUSTOS COMBUSTIVEL + MATERIAL DISTRIBUIDOR DE AGREGADO SPRE*</v>
          </cell>
          <cell r="C661" t="str">
            <v>H</v>
          </cell>
          <cell r="D661">
            <v>45.63</v>
          </cell>
        </row>
        <row r="662">
          <cell r="A662">
            <v>73305</v>
          </cell>
          <cell r="B662" t="str">
            <v>DISTRIBUIDOR DE AGREGADOS AUTOPROPELIDO CAP 3 M3, A DIESEL, 6 CC, 140 CV - JUROS</v>
          </cell>
          <cell r="C662" t="str">
            <v>H</v>
          </cell>
          <cell r="D662">
            <v>41.25</v>
          </cell>
        </row>
        <row r="663">
          <cell r="A663">
            <v>73307</v>
          </cell>
          <cell r="B663" t="str">
            <v>MANUTENCAO - GRUPO GERADOR 150 KVA</v>
          </cell>
          <cell r="C663" t="str">
            <v>H</v>
          </cell>
          <cell r="D663">
            <v>1.84</v>
          </cell>
        </row>
        <row r="664">
          <cell r="A664">
            <v>73308</v>
          </cell>
          <cell r="B664" t="str">
            <v>DISTRIBUIDOR DE AGREGADOS AUTOPROPELIDO CAP 3 M3, A DIESEL, 6 CC, 140 CV - DEPRECIACAO</v>
          </cell>
          <cell r="C664" t="str">
            <v>H</v>
          </cell>
          <cell r="D664">
            <v>109.24</v>
          </cell>
        </row>
        <row r="665">
          <cell r="A665">
            <v>73309</v>
          </cell>
          <cell r="B665" t="str">
            <v>ROLO COMPACTADOR VIBRATORIO PE DE CARNEIRO PARA SOLOS, POTENCIA 80HP, PESO MÁXIMO OPERACIONAL 8,8T - DEPRECIACAO</v>
          </cell>
          <cell r="C665" t="str">
            <v>H</v>
          </cell>
          <cell r="D665">
            <v>17.43</v>
          </cell>
        </row>
        <row r="666">
          <cell r="A666">
            <v>73310</v>
          </cell>
          <cell r="B666" t="str">
            <v>CUSTO HORARIO COM DEPRECIACAO E JUROS-RETRO-ESCAVADEIRA SOBRE RODAS - CASE 580 H - 74 HP</v>
          </cell>
          <cell r="C666" t="str">
            <v>H</v>
          </cell>
          <cell r="D666">
            <v>25.25</v>
          </cell>
        </row>
        <row r="667">
          <cell r="A667">
            <v>73311</v>
          </cell>
          <cell r="B667" t="str">
            <v>CUSTOS C/MATERIAL OPERACAO - GRUPO GERADOR 150 KVA</v>
          </cell>
          <cell r="C667" t="str">
            <v>H</v>
          </cell>
          <cell r="D667">
            <v>83.91</v>
          </cell>
        </row>
        <row r="668">
          <cell r="A668">
            <v>73312</v>
          </cell>
          <cell r="B668" t="str">
            <v>DISTRIBUIDOR DE AGREGADOS AUTOPROPELIDO CAP 3 M3, A DIESEL, 6 CC, 140 CV - MANUTENCAO</v>
          </cell>
          <cell r="C668" t="str">
            <v>H</v>
          </cell>
          <cell r="D668">
            <v>54.62</v>
          </cell>
        </row>
        <row r="669">
          <cell r="A669">
            <v>73313</v>
          </cell>
          <cell r="B669" t="str">
            <v>ROLO COMPACTADOR VIBRATORIO PE DE CARNEIRO PARA SOLOS, POTENCIA 80HP, PESO MÁXIMO OPERACIONAL 8,8T - JUROS</v>
          </cell>
          <cell r="C669" t="str">
            <v>H</v>
          </cell>
          <cell r="D669">
            <v>8.7100000000000009</v>
          </cell>
        </row>
        <row r="670">
          <cell r="A670">
            <v>73314</v>
          </cell>
          <cell r="B670" t="str">
            <v>CUSTO HORARIO COM MAO-DE-OBRA NA OPERACAO DIURNA-RETRO-ESCAVADEIRA SO-BRE RODAS - CASE 580 H - 74 HP</v>
          </cell>
          <cell r="C670" t="str">
            <v>H</v>
          </cell>
          <cell r="D670">
            <v>18.34</v>
          </cell>
        </row>
        <row r="671">
          <cell r="A671">
            <v>73315</v>
          </cell>
          <cell r="B671" t="str">
            <v>CUSTOS COMBUSTIVEL + MATERIAL NA OPERACAO DE ROLO VIBRATORIO TT SPV 84PE-DE-CARNEIRO</v>
          </cell>
          <cell r="C671" t="str">
            <v>H</v>
          </cell>
          <cell r="D671">
            <v>76.92</v>
          </cell>
        </row>
        <row r="672">
          <cell r="A672">
            <v>73316</v>
          </cell>
          <cell r="B672" t="str">
            <v>CUSTO HORARIO COM MANUTENCAO-RETRO-ESCAVADEIRA SOBRE RODAS - CASE 580 H - 74 HP</v>
          </cell>
          <cell r="C672" t="str">
            <v>H</v>
          </cell>
          <cell r="D672">
            <v>14.67</v>
          </cell>
        </row>
        <row r="673">
          <cell r="A673">
            <v>73317</v>
          </cell>
          <cell r="B673" t="str">
            <v>CUSTO HORARIO COM MATERIAIS NA OPERACAO-RETRO-ESCAVADEIRA SOBRE RODAS - CASE 580 H - 74 HP</v>
          </cell>
          <cell r="C673" t="str">
            <v>H</v>
          </cell>
          <cell r="D673">
            <v>39.159999999999997</v>
          </cell>
        </row>
        <row r="674">
          <cell r="A674">
            <v>73319</v>
          </cell>
          <cell r="B674" t="str">
            <v>CUSTO HORARIO COM DEPRECIACAO E JUROS - COMPRESSOR ATLAS COPCO - XA80  170 PCM 80 HP</v>
          </cell>
          <cell r="C674" t="str">
            <v>H</v>
          </cell>
          <cell r="D674">
            <v>12.22</v>
          </cell>
        </row>
        <row r="675">
          <cell r="A675">
            <v>73321</v>
          </cell>
          <cell r="B675" t="str">
            <v>GRUPO GERADOR TRANSPORTAVEL SOBRE RODAS 60/66KVA (CP) DIESEL 85CV     (1.800RPM) - EXCL OPERADOR</v>
          </cell>
          <cell r="C675" t="str">
            <v>H</v>
          </cell>
          <cell r="D675">
            <v>51</v>
          </cell>
        </row>
        <row r="676">
          <cell r="A676">
            <v>73322</v>
          </cell>
          <cell r="B676" t="str">
            <v>CUSTO HORARIO COM MATERIAIS NA OPERACAO - COMPRESSOR ATLAS COPCO - XA 80 170 PCM 80 HP</v>
          </cell>
          <cell r="C676" t="str">
            <v>H</v>
          </cell>
          <cell r="D676">
            <v>37.29</v>
          </cell>
        </row>
        <row r="677">
          <cell r="A677">
            <v>73323</v>
          </cell>
          <cell r="B677" t="str">
            <v>CUSTO HORARIO COM MANUTENCAO - COMPRESSOR ATLAS COPCO - XA80 170 PCM  80 HP</v>
          </cell>
          <cell r="C677" t="str">
            <v>H</v>
          </cell>
          <cell r="D677">
            <v>2.48</v>
          </cell>
        </row>
        <row r="678">
          <cell r="A678">
            <v>73324</v>
          </cell>
          <cell r="B678" t="str">
            <v>CARREGADOR FRONTAL RODAS DIESEL 100CV CAPAC RASA 1,30M3 (CP) INCL     OPERADOR</v>
          </cell>
          <cell r="C678" t="str">
            <v>H</v>
          </cell>
          <cell r="D678">
            <v>123.91</v>
          </cell>
        </row>
        <row r="679">
          <cell r="A679">
            <v>73325</v>
          </cell>
          <cell r="B679" t="str">
            <v>CUSTO HORARIO COM MAO-DE-OBRA NA OPERACAO DIURNA - COMPRESSOR ATLAS COPCO - XA80 170 PCM 80 HP</v>
          </cell>
          <cell r="C679" t="str">
            <v>H</v>
          </cell>
          <cell r="D679">
            <v>10.23</v>
          </cell>
        </row>
        <row r="680">
          <cell r="A680">
            <v>73327</v>
          </cell>
          <cell r="B680" t="str">
            <v>CUSTO HORARIO COM MAO-DE-OBRA NA OPERACAO DIURNA - MARTELETE OU ROMPE-DOR ATLAS COPCO - TEX 31</v>
          </cell>
          <cell r="C680" t="str">
            <v>H</v>
          </cell>
          <cell r="D680">
            <v>9.5</v>
          </cell>
        </row>
        <row r="681">
          <cell r="A681">
            <v>73329</v>
          </cell>
          <cell r="B681" t="str">
            <v>CUSTO HORARIO C/ DEPRECIACAO E JUROS - CAMINHAO CARROCERIA MERCEDES   BENZ - 1418/48 184 HP</v>
          </cell>
          <cell r="C681" t="str">
            <v>H</v>
          </cell>
          <cell r="D681">
            <v>17.82</v>
          </cell>
        </row>
        <row r="682">
          <cell r="A682">
            <v>73330</v>
          </cell>
          <cell r="B682" t="str">
            <v>CARREGADOR FRONTAL RODAS DIESEL 100CV CAPAC RASA 1,30M3 (CI) INCL     OPERADOR</v>
          </cell>
          <cell r="C682" t="str">
            <v>H</v>
          </cell>
          <cell r="D682">
            <v>56.15</v>
          </cell>
        </row>
        <row r="683">
          <cell r="A683">
            <v>73331</v>
          </cell>
          <cell r="B683" t="str">
            <v>VIBRADOR DE IMERSAO MOTOR GAS 3,5CV (CP) TUBO 48X480MM C/MANGOTE      DE 5M COMP - EXCL OPERADOR</v>
          </cell>
          <cell r="C683" t="str">
            <v>H</v>
          </cell>
          <cell r="D683">
            <v>2.63</v>
          </cell>
        </row>
        <row r="684">
          <cell r="A684">
            <v>73332</v>
          </cell>
          <cell r="B684" t="str">
            <v>CUSTO HORARIO COM MANUTENCAO - MARTELETE OU ROMPEDOR ATLAS COPCO - TEX 31</v>
          </cell>
          <cell r="C684" t="str">
            <v>H</v>
          </cell>
          <cell r="D684">
            <v>1.0900000000000001</v>
          </cell>
        </row>
        <row r="685">
          <cell r="A685">
            <v>73333</v>
          </cell>
          <cell r="B685" t="str">
            <v>GRUPO GERADOR C/POTENCIA 1450W/110V C.A OU 12V C.C. (CI) GAS 3,4HP    (3.600RPM) DE 4 TEMPOS REFRIGERACAO A AR - EXCL OPERADOR</v>
          </cell>
          <cell r="C685" t="str">
            <v>H</v>
          </cell>
          <cell r="D685">
            <v>0.35</v>
          </cell>
        </row>
        <row r="686">
          <cell r="A686">
            <v>73335</v>
          </cell>
          <cell r="B686" t="str">
            <v>CUSTO HORARIO C/ MANUTENCAO - CAMINHAO CARROCERIA MERCEDES BENZ -     1418/48 184 HP</v>
          </cell>
          <cell r="C686" t="str">
            <v>H</v>
          </cell>
          <cell r="D686">
            <v>8.85</v>
          </cell>
        </row>
        <row r="687">
          <cell r="A687">
            <v>73336</v>
          </cell>
          <cell r="B687" t="str">
            <v>USINA MIST A FRIO CAPAC 50T/H (CP) INCL EQUIPE DE OPERACAO</v>
          </cell>
          <cell r="C687" t="str">
            <v>H</v>
          </cell>
          <cell r="D687">
            <v>300.39</v>
          </cell>
        </row>
        <row r="688">
          <cell r="A688">
            <v>73337</v>
          </cell>
          <cell r="B688" t="str">
            <v>CUSTO HORARIO COM DEPRECIACAO E JUROS - MARTELETE OU ROMPEDOR ATLAS COPCO - TEX 31</v>
          </cell>
          <cell r="C688" t="str">
            <v>H</v>
          </cell>
          <cell r="D688">
            <v>0.83</v>
          </cell>
        </row>
        <row r="689">
          <cell r="A689">
            <v>73338</v>
          </cell>
          <cell r="B689" t="str">
            <v>COMPRESSOR AR PORTATIL/REBOCAVEL DESC 170PCM DIESEL 40CV (CI) PRESSAO DE TRABALHO DE 102PSI - EXCL OPERADOR</v>
          </cell>
          <cell r="C689" t="str">
            <v>H</v>
          </cell>
          <cell r="D689">
            <v>7.56</v>
          </cell>
        </row>
        <row r="690">
          <cell r="A690">
            <v>73339</v>
          </cell>
          <cell r="B690" t="str">
            <v>TRATOR DE PNEUS MOTOR DIESEL 61CV (CI) INCL OPERADOR</v>
          </cell>
          <cell r="C690" t="str">
            <v>H</v>
          </cell>
          <cell r="D690">
            <v>25.74</v>
          </cell>
        </row>
        <row r="691">
          <cell r="A691">
            <v>73340</v>
          </cell>
          <cell r="B691" t="str">
            <v>CUSTO HORARIO C/ MATERIAIS NA OPERACAO - CAMINHAO CARROCERIA MERCEDES BENZ - 1418/48 HP</v>
          </cell>
          <cell r="C691" t="str">
            <v>H</v>
          </cell>
          <cell r="D691">
            <v>85.78</v>
          </cell>
        </row>
        <row r="692">
          <cell r="A692">
            <v>73343</v>
          </cell>
          <cell r="B692" t="str">
            <v>VIBRADOR DE IMERSAO MOTOR GAS 3,5CV TUBO DE 48X480MM (CI) C/MANGOTE   DE 5M COMP -EXCL OPERADOR</v>
          </cell>
          <cell r="C692" t="str">
            <v>H</v>
          </cell>
          <cell r="D692">
            <v>0.62</v>
          </cell>
        </row>
        <row r="693">
          <cell r="A693">
            <v>73344</v>
          </cell>
          <cell r="B693" t="str">
            <v>GRUPO GERADOR ESTACIONARIO C/ALTERNADOR 125/145KVA (CP) DIESEL 165CV  EXCL OPERADOR</v>
          </cell>
          <cell r="C693" t="str">
            <v>H</v>
          </cell>
          <cell r="D693">
            <v>105.67</v>
          </cell>
        </row>
        <row r="694">
          <cell r="A694">
            <v>73345</v>
          </cell>
          <cell r="B694" t="str">
            <v>ROLO COMPACTADOR TANDEM 5 A 10T DIESEL 58,5CV (CI) INCL OPERADOR</v>
          </cell>
          <cell r="C694" t="str">
            <v>H</v>
          </cell>
          <cell r="D694">
            <v>37.42</v>
          </cell>
        </row>
        <row r="695">
          <cell r="A695">
            <v>73348</v>
          </cell>
          <cell r="B695" t="str">
            <v>CUSTO HORARIO C/ DEPRECIACAO E JUROS - GUINDASTE AUTOPROPELIDO MADAL  - MD 10 A 45 HP</v>
          </cell>
          <cell r="C695" t="str">
            <v>H</v>
          </cell>
          <cell r="D695">
            <v>46.77</v>
          </cell>
        </row>
        <row r="696">
          <cell r="A696">
            <v>73352</v>
          </cell>
          <cell r="B696" t="str">
            <v>CUSTO HORARIO C/ DEPRECIACAO E JUROS - GUINCHO 8 T MUNCK - 640/18     S/ CAMINHAO MERCEDES BENZ 1418/51 184 HP</v>
          </cell>
          <cell r="C696" t="str">
            <v>H</v>
          </cell>
          <cell r="D696">
            <v>7.58</v>
          </cell>
        </row>
        <row r="697">
          <cell r="A697">
            <v>73353</v>
          </cell>
          <cell r="B697" t="str">
            <v>COMPACTADOR DE PNEUS AUTO-PROPULSOR DIESEL 76HP C/7 PNEUS-CI- PESO    5,5/20T INCL OPERADOR</v>
          </cell>
          <cell r="C697" t="str">
            <v>H</v>
          </cell>
          <cell r="D697">
            <v>52.56</v>
          </cell>
        </row>
        <row r="698">
          <cell r="A698">
            <v>73354</v>
          </cell>
          <cell r="B698" t="str">
            <v>MAQUINA DE JUNTAS GAS 8,25CV PART MANUAL (CI) INCL OPERADOR</v>
          </cell>
          <cell r="C698" t="str">
            <v>H</v>
          </cell>
          <cell r="D698">
            <v>18.86</v>
          </cell>
        </row>
        <row r="699">
          <cell r="A699">
            <v>73355</v>
          </cell>
          <cell r="B699" t="str">
            <v>ALUGUEL CAMINHAO CARROC FIXA TOCO 7,5T MOTOR DIESEL 132CV (CF) C/MOTO RISTA</v>
          </cell>
          <cell r="C699" t="str">
            <v>H</v>
          </cell>
          <cell r="D699">
            <v>45.47</v>
          </cell>
        </row>
        <row r="700">
          <cell r="A700">
            <v>73359</v>
          </cell>
          <cell r="B700" t="str">
            <v>CUSTO HORARIO C/ MANUTENCAO - GUINDASTE AUTOPROPELIDO MADAL -         MD 10A 45 HP</v>
          </cell>
          <cell r="C700" t="str">
            <v>H</v>
          </cell>
          <cell r="D700">
            <v>27.42</v>
          </cell>
        </row>
        <row r="701">
          <cell r="A701">
            <v>73365</v>
          </cell>
          <cell r="B701" t="str">
            <v>CUSTO HORARIO C/ MANUTENCAO - GUINCHO 8 T MUNCK - 640/18 S/ CAMINHAO  MERCEDES BENZ 1418/51 184 HP</v>
          </cell>
          <cell r="C701" t="str">
            <v>H</v>
          </cell>
          <cell r="D701">
            <v>3.76</v>
          </cell>
        </row>
        <row r="702">
          <cell r="A702">
            <v>73366</v>
          </cell>
          <cell r="B702" t="str">
            <v>ROLO VIBRATORIO LISO 7T AUTO-PROPULSOR DIESEL 76,5H (CI) INCL OPERADORLARG TOTAL 2,015M</v>
          </cell>
          <cell r="C702" t="str">
            <v>H</v>
          </cell>
          <cell r="D702">
            <v>44.21</v>
          </cell>
        </row>
        <row r="703">
          <cell r="A703">
            <v>73367</v>
          </cell>
          <cell r="B703" t="str">
            <v>ROMPEDOR PNEUNATICO 32,6KG CONSUMO AR 38,8L (CI) S/OPERADOR PONTEIRA  E MANGUEIRA - FREQUENCIA DE IMPACTOS 1110 IMP/MIN</v>
          </cell>
          <cell r="C703" t="str">
            <v>H</v>
          </cell>
          <cell r="D703">
            <v>1.02</v>
          </cell>
        </row>
        <row r="704">
          <cell r="A704">
            <v>73371</v>
          </cell>
          <cell r="B704" t="str">
            <v>ROLO COMPACTADOR TANDEM 5 A 10T DIESEL 58,5CV (CP) INCL OPERADOR</v>
          </cell>
          <cell r="C704" t="str">
            <v>H</v>
          </cell>
          <cell r="D704">
            <v>71.2</v>
          </cell>
        </row>
        <row r="705">
          <cell r="A705">
            <v>73373</v>
          </cell>
          <cell r="B705" t="str">
            <v>CUSTO HORARIO C/ MATERIAIS NA OPERACAO - GUINDASTE AUTOPROPELIDO MADAL- MD 10A 45 HP</v>
          </cell>
          <cell r="C705" t="str">
            <v>H</v>
          </cell>
          <cell r="D705">
            <v>20.97</v>
          </cell>
        </row>
        <row r="706">
          <cell r="A706">
            <v>73374</v>
          </cell>
          <cell r="B706" t="str">
            <v>USINA PRE-MISTURADORA DE SOLOS CAPAC 350/600T/H (CF) INCL EQUIPE      DE OPERACAO</v>
          </cell>
          <cell r="C706" t="str">
            <v>H</v>
          </cell>
          <cell r="D706">
            <v>189.02</v>
          </cell>
        </row>
        <row r="707">
          <cell r="A707">
            <v>73377</v>
          </cell>
          <cell r="B707" t="str">
            <v>VIBRO-ACABADORA ASF SOBRE ESTEIRA DIESEL 69CV (CI) C/EXTENSAO P/PAVI- MENTO - INCL OPERADOR E AUXILIAR</v>
          </cell>
          <cell r="C707" t="str">
            <v>H</v>
          </cell>
          <cell r="D707">
            <v>131.80000000000001</v>
          </cell>
        </row>
        <row r="708">
          <cell r="A708">
            <v>73378</v>
          </cell>
          <cell r="B708" t="str">
            <v>ROMPEDOR PNEUMATICO 32,6KG CONSUMO AR 38,8L (CP) S/OPERADOR PONTEIRA  E MANGUEIRA-FREQUENCIA DE IMPACTO DE 1110 IMP/MIN</v>
          </cell>
          <cell r="C708" t="str">
            <v>H</v>
          </cell>
          <cell r="D708">
            <v>1.42</v>
          </cell>
        </row>
        <row r="709">
          <cell r="A709">
            <v>73380</v>
          </cell>
          <cell r="B709" t="str">
            <v>VIBRO-ACABADORA ASF SOBRE ESTEIRA DIESEL 69CV (CP) C/EXTENSAO P/PAVI- MENTO - INCL OPERADOR E AUXILIAR</v>
          </cell>
          <cell r="C709" t="str">
            <v>H</v>
          </cell>
          <cell r="D709">
            <v>219.52</v>
          </cell>
        </row>
        <row r="710">
          <cell r="A710">
            <v>73383</v>
          </cell>
          <cell r="B710" t="str">
            <v>CUSTO HORARIO C/ MATERIAIS NA OPERACAO - GUINCHO 8 T MUNCK - 640/18   S/ CAMINHAO MERCEDES BENZ 1418/51 184 HP</v>
          </cell>
          <cell r="C710" t="str">
            <v>H</v>
          </cell>
          <cell r="D710">
            <v>79.25</v>
          </cell>
        </row>
        <row r="711">
          <cell r="A711">
            <v>73386</v>
          </cell>
          <cell r="B711" t="str">
            <v>ALUGUEL CAMINHAO BASCUL NO TOCO 4M3 DMOTOR DIESEL 85CV (CI) C/MOTORIS TA</v>
          </cell>
          <cell r="C711" t="str">
            <v>H</v>
          </cell>
          <cell r="D711">
            <v>36.590000000000003</v>
          </cell>
        </row>
        <row r="712">
          <cell r="A712">
            <v>73387</v>
          </cell>
          <cell r="B712" t="str">
            <v>GRUPO GERADOR C/POTENCIA 1450W/110V C.A OU 12V C.C. (CP) GAS 3,4HPREFRIGERADO A AR - EXCL OPERADOR</v>
          </cell>
          <cell r="C712" t="str">
            <v>H</v>
          </cell>
          <cell r="D712">
            <v>5.0199999999999996</v>
          </cell>
        </row>
        <row r="713">
          <cell r="A713">
            <v>73388</v>
          </cell>
          <cell r="B713" t="str">
            <v>COMPRESSOR AR PORTATIL/REBOCAVEL DESC 170PCM DIESEL 40CV (CP) PRESSAO DE TRABALHO DE 102PSI - EXCL OPERADOR</v>
          </cell>
          <cell r="C713" t="str">
            <v>H</v>
          </cell>
          <cell r="D713">
            <v>51.04</v>
          </cell>
        </row>
        <row r="714">
          <cell r="A714">
            <v>73389</v>
          </cell>
          <cell r="B714" t="str">
            <v>ESPALHADOR AGREG REBOCAVEL CAPAC RASA 1,3M3 PESO 860KG (CP) DIAM ROLO 127MM (5") - EXCL OPERADOR</v>
          </cell>
          <cell r="C714" t="str">
            <v>H</v>
          </cell>
          <cell r="D714">
            <v>14.96</v>
          </cell>
        </row>
        <row r="715">
          <cell r="A715">
            <v>73390</v>
          </cell>
          <cell r="B715" t="str">
            <v>COMPACTADOR DE PNEUS AUTO-PROPULSOR DIESEL 76HP C/7 PNEUS-CP -PESO    5,5/20T INCL OPERADOR</v>
          </cell>
          <cell r="C715" t="str">
            <v>H</v>
          </cell>
          <cell r="D715">
            <v>99.4</v>
          </cell>
        </row>
        <row r="716">
          <cell r="A716">
            <v>73399</v>
          </cell>
          <cell r="B716" t="str">
            <v>DEPRECIAO E JUROS - MAQUINA DE DEMARCAR FAIXAS AUTOPROP.</v>
          </cell>
          <cell r="C716" t="str">
            <v>H</v>
          </cell>
          <cell r="D716">
            <v>62.86</v>
          </cell>
        </row>
        <row r="717">
          <cell r="A717">
            <v>73400</v>
          </cell>
          <cell r="B717" t="str">
            <v>TRATOR ESTEIRAS DIESEL APROX 200CV C/LAMINA 2500KG (CI) INCL OPERADOR</v>
          </cell>
          <cell r="C717" t="str">
            <v>H</v>
          </cell>
          <cell r="D717">
            <v>108.84</v>
          </cell>
        </row>
        <row r="718">
          <cell r="A718">
            <v>73401</v>
          </cell>
          <cell r="B718" t="str">
            <v>COMPRESSOR AR PORTATIL/REBOCAVEL DESC 170PCM DIESEL 40CV (CF) PRESSAO DE TRABALHO DE 102PSI - EXCL OPERADOR</v>
          </cell>
          <cell r="C718" t="str">
            <v>H</v>
          </cell>
          <cell r="D718">
            <v>12.3</v>
          </cell>
        </row>
        <row r="719">
          <cell r="A719">
            <v>73402</v>
          </cell>
          <cell r="B719" t="str">
            <v>USINA PRE-MISTURADORA DE SOLOS CAPAC 350/600T/H (CP) INCL EQUIPE      DE OPERACAO</v>
          </cell>
          <cell r="C719" t="str">
            <v>H</v>
          </cell>
          <cell r="D719">
            <v>281.85000000000002</v>
          </cell>
        </row>
        <row r="720">
          <cell r="A720">
            <v>73405</v>
          </cell>
          <cell r="B720" t="str">
            <v>CUSTO HORARIO PRODUTIVO DIURNO-RETRO-ESCAVADEIRA SOBRE RODAS - CASE   580 H - 74 HP</v>
          </cell>
          <cell r="C720" t="str">
            <v>CHP</v>
          </cell>
          <cell r="D720">
            <v>97.43</v>
          </cell>
        </row>
        <row r="721">
          <cell r="A721">
            <v>73407</v>
          </cell>
          <cell r="B721" t="str">
            <v>JUROS/CAMINHAO CARROCERIA FIXA FORD F-12000 - 142CV</v>
          </cell>
          <cell r="C721" t="str">
            <v>H</v>
          </cell>
          <cell r="D721">
            <v>5.49</v>
          </cell>
        </row>
        <row r="722">
          <cell r="A722">
            <v>73414</v>
          </cell>
          <cell r="B722" t="str">
            <v>ROLO VIBRATORIO LISO 7T AUTO-PROPULSOR DIESEL 76,5H (CP) INCL OPERADORLARGURA TOTAL 2,015M</v>
          </cell>
          <cell r="C722" t="str">
            <v>H</v>
          </cell>
          <cell r="D722">
            <v>87.36</v>
          </cell>
        </row>
        <row r="723">
          <cell r="A723">
            <v>73416</v>
          </cell>
          <cell r="B723" t="str">
            <v>CUSTOS C/MATERIAL NA OPERACAO/CAMINHAO CARROCERIA FIXA FORD F-12000 - 142HP</v>
          </cell>
          <cell r="C723" t="str">
            <v>H</v>
          </cell>
          <cell r="D723">
            <v>66.2</v>
          </cell>
        </row>
        <row r="724">
          <cell r="A724">
            <v>73419</v>
          </cell>
          <cell r="B724" t="str">
            <v>USINA P/MISTURA BETUM ALTA CLASSE A QUENTE CAPAC 60/90T/H-CP INCL     EQUIPE DE OPERACAO</v>
          </cell>
          <cell r="C724" t="str">
            <v>H</v>
          </cell>
          <cell r="D724">
            <v>1681.41</v>
          </cell>
        </row>
        <row r="725">
          <cell r="A725">
            <v>73421</v>
          </cell>
          <cell r="B725" t="str">
            <v>CUSTO HORARIO C/DEPRECIACAO E JUROS - MOTONIVELADORA CATERPILLAR 120 G125 HP</v>
          </cell>
          <cell r="C725" t="str">
            <v>H</v>
          </cell>
          <cell r="D725">
            <v>43.04</v>
          </cell>
        </row>
        <row r="726">
          <cell r="A726">
            <v>73425</v>
          </cell>
          <cell r="B726" t="str">
            <v>CUSTO HORARIO COM DEPRECIACAO E JUROS - TRATOR DE ESTEIRAS CATERPILLARD6D PS - 163 6A - 140 HP</v>
          </cell>
          <cell r="C726" t="str">
            <v>H</v>
          </cell>
          <cell r="D726">
            <v>66.760000000000005</v>
          </cell>
        </row>
        <row r="727">
          <cell r="A727">
            <v>73428</v>
          </cell>
          <cell r="B727" t="str">
            <v>CUSTO HORARIO PRODUTIVO DIURNO - MARTELETE OU ROMPEDOR ATLAS COPCO -  TEX 31</v>
          </cell>
          <cell r="C727" t="str">
            <v>CHP</v>
          </cell>
          <cell r="D727">
            <v>11.43</v>
          </cell>
        </row>
        <row r="728">
          <cell r="A728">
            <v>73429</v>
          </cell>
          <cell r="B728" t="str">
            <v>CAMINHAO TANQUE (PIPA) 6.000 L, DIESEL, 132CV, COM MOTORISTA, (CHI).</v>
          </cell>
          <cell r="C728" t="str">
            <v>H</v>
          </cell>
          <cell r="D728">
            <v>38.51</v>
          </cell>
        </row>
        <row r="729">
          <cell r="A729">
            <v>73432</v>
          </cell>
          <cell r="B729" t="str">
            <v>CHP - BETONEIRA CAPAC. 320 L, MOTOR DIESEL 6 HP, ALFA 320 OU SIMILAR</v>
          </cell>
          <cell r="C729" t="str">
            <v>H</v>
          </cell>
          <cell r="D729">
            <v>13.23</v>
          </cell>
        </row>
        <row r="730">
          <cell r="A730">
            <v>73433</v>
          </cell>
          <cell r="B730" t="str">
            <v>DEPRECIACAO/CAMINHAO CARROCERIA FIXA FORD F-12000 CHASSI 194" - 142CV</v>
          </cell>
          <cell r="C730" t="str">
            <v>H</v>
          </cell>
          <cell r="D730">
            <v>14.52</v>
          </cell>
        </row>
        <row r="731">
          <cell r="A731">
            <v>73434</v>
          </cell>
          <cell r="B731" t="str">
            <v>CUSTO HORARIO COM MANUTENCAO - TRATOR DE ESTEIRAS CATERPILLAR         D6D PS - 163 6A - 140 HP</v>
          </cell>
          <cell r="C731" t="str">
            <v>H</v>
          </cell>
          <cell r="D731">
            <v>37.67</v>
          </cell>
        </row>
        <row r="732">
          <cell r="A732">
            <v>73435</v>
          </cell>
          <cell r="B732" t="str">
            <v>MANUTENCAO - MAQUINA DE DEMARCAR FAIXAS AUTOPROP.</v>
          </cell>
          <cell r="C732" t="str">
            <v>H</v>
          </cell>
          <cell r="D732">
            <v>43.08</v>
          </cell>
        </row>
        <row r="733">
          <cell r="A733">
            <v>73437</v>
          </cell>
          <cell r="B733" t="str">
            <v>SERRA CIRCULAR MAKITA 5900B 7` 2,3HP - CHP</v>
          </cell>
          <cell r="C733" t="str">
            <v>H</v>
          </cell>
          <cell r="D733">
            <v>12.28</v>
          </cell>
        </row>
        <row r="734">
          <cell r="A734">
            <v>73439</v>
          </cell>
          <cell r="B734" t="str">
            <v>MOTO BOMBA SOBRE RODAS GAS DE 10,5CV A 3600RPM (CI) C/BOMBA CENTRIFUGAAUTO-ESCORVANTE DE ROTOR ABERTO BOCAIS DE 3" - EXCL OPERADOR</v>
          </cell>
          <cell r="C734" t="str">
            <v>H</v>
          </cell>
          <cell r="D734">
            <v>2.94</v>
          </cell>
        </row>
        <row r="735">
          <cell r="A735">
            <v>73440</v>
          </cell>
          <cell r="B735" t="str">
            <v>USINA DOSADOR/MISTURADOR AGREG CONCR C/SILO CIM P/50T (CI) INCL       MAO-DE-OBRA P/ALIMENTACAO E OPERACAO DA CENTRAL</v>
          </cell>
          <cell r="C735" t="str">
            <v>H</v>
          </cell>
          <cell r="D735">
            <v>168.67</v>
          </cell>
        </row>
        <row r="736">
          <cell r="A736">
            <v>73441</v>
          </cell>
          <cell r="B736" t="str">
            <v>USINA DOSADORA/MIST AGREG CONCR C/SILO CIM P/50T (CP) INCL MAO-DE-OBRAP/ALIMENTACAO E OPER</v>
          </cell>
          <cell r="C736" t="str">
            <v>H</v>
          </cell>
          <cell r="D736">
            <v>212.38</v>
          </cell>
        </row>
        <row r="737">
          <cell r="A737">
            <v>73443</v>
          </cell>
          <cell r="B737" t="str">
            <v>CUSTO HORARIO C/MANUTENCAO - MOTONIVELADORA CATERPILLAR 120 G - 125 HP</v>
          </cell>
          <cell r="C737" t="str">
            <v>H</v>
          </cell>
          <cell r="D737">
            <v>32.94</v>
          </cell>
        </row>
        <row r="738">
          <cell r="A738">
            <v>73445</v>
          </cell>
          <cell r="B738" t="str">
            <v>CAIACAO INT OU EXT SOBRE REVESTIMENTO LISO C/ADOCAO DE FIXADOR COM    COM DUAS DEMAOS</v>
          </cell>
          <cell r="C738" t="str">
            <v>M2</v>
          </cell>
          <cell r="D738">
            <v>4.8</v>
          </cell>
        </row>
        <row r="739">
          <cell r="A739">
            <v>73446</v>
          </cell>
          <cell r="B739" t="str">
            <v>PINTURA DE SUPERFICIE C/TINTA GRAFITE</v>
          </cell>
          <cell r="C739" t="str">
            <v>M2</v>
          </cell>
          <cell r="D739">
            <v>12.21</v>
          </cell>
        </row>
        <row r="740">
          <cell r="A740">
            <v>73447</v>
          </cell>
          <cell r="B740" t="str">
            <v>ESCAVACAO MANUAL DE VALAS EM TERRA COMPACTA, PROF. 2 M &lt; H &lt;= 3 M</v>
          </cell>
          <cell r="C740" t="str">
            <v>M3</v>
          </cell>
          <cell r="D740">
            <v>31.61</v>
          </cell>
        </row>
        <row r="741">
          <cell r="A741">
            <v>73448</v>
          </cell>
          <cell r="B741" t="str">
            <v>BOMBA C/MOTOR A GASOLINA AUTOESCORVANTE PARA AGUA SUJA - 3/4 HP       MANUTENCAO</v>
          </cell>
          <cell r="C741" t="str">
            <v>H</v>
          </cell>
          <cell r="D741">
            <v>0.13</v>
          </cell>
        </row>
        <row r="742">
          <cell r="A742">
            <v>73450</v>
          </cell>
          <cell r="B742" t="str">
            <v>CUSTO HORARIO IMPRODUTIVO DIURNO - MARTELETE OU ROMPEDOR ATLAS COPCO - TEX 31</v>
          </cell>
          <cell r="C742" t="str">
            <v>CHI</v>
          </cell>
          <cell r="D742">
            <v>10.33</v>
          </cell>
        </row>
        <row r="743">
          <cell r="A743">
            <v>73451</v>
          </cell>
          <cell r="B743" t="str">
            <v>TRATOR ESTEIRAS DIESEL APROX 200CV C/LAMINA 2500KG (CUSTO PRODUTIVO) INCL OPERADOR</v>
          </cell>
          <cell r="C743" t="str">
            <v>H</v>
          </cell>
          <cell r="D743">
            <v>243.09</v>
          </cell>
        </row>
        <row r="744">
          <cell r="A744">
            <v>73452</v>
          </cell>
          <cell r="B744" t="str">
            <v>MOTONIVELADORA MOTOR DIESEL 125CV INCL OPERADOR (CP)</v>
          </cell>
          <cell r="C744" t="str">
            <v>H</v>
          </cell>
          <cell r="D744">
            <v>184.36</v>
          </cell>
        </row>
        <row r="745">
          <cell r="A745">
            <v>73453</v>
          </cell>
          <cell r="B745" t="str">
            <v>TRATOR DE PNEUS MOTOR DIESEL 61CV INCL OPERADOR (CP)</v>
          </cell>
          <cell r="C745" t="str">
            <v>H</v>
          </cell>
          <cell r="D745">
            <v>58.43</v>
          </cell>
        </row>
        <row r="746">
          <cell r="A746">
            <v>73456</v>
          </cell>
          <cell r="B746" t="str">
            <v>MANUTENCAO/CAMINHAO CARROCERIA FIXA FORD F-12000 - 142CV</v>
          </cell>
          <cell r="C746" t="str">
            <v>H</v>
          </cell>
          <cell r="D746">
            <v>11.63</v>
          </cell>
        </row>
        <row r="747">
          <cell r="A747">
            <v>73457</v>
          </cell>
          <cell r="B747" t="str">
            <v>CUSTO HORARIO C/MATERIAIS NA OPERACAO - MOTONIVELADORA CATERPILLAR    120G - 125 HP</v>
          </cell>
          <cell r="C747" t="str">
            <v>H</v>
          </cell>
          <cell r="D747">
            <v>65.260000000000005</v>
          </cell>
        </row>
        <row r="748">
          <cell r="A748">
            <v>73458</v>
          </cell>
          <cell r="B748" t="str">
            <v>CUSTO HORARIO COM MATERIAIS NA OPERACAO - TRATOR DE ESTEIRAS          CATERPILLAR D6D PS - 163 6A - 140  HP</v>
          </cell>
          <cell r="C748" t="str">
            <v>H</v>
          </cell>
          <cell r="D748">
            <v>65.260000000000005</v>
          </cell>
        </row>
        <row r="749">
          <cell r="A749">
            <v>73459</v>
          </cell>
          <cell r="B749" t="str">
            <v>CUSTOS C/MATERIAL OPERCAO -MAQUINA DE DEMARCAR FAIXAS AUTO</v>
          </cell>
          <cell r="C749" t="str">
            <v>H</v>
          </cell>
          <cell r="D749">
            <v>13.98</v>
          </cell>
        </row>
        <row r="750">
          <cell r="A750">
            <v>73463</v>
          </cell>
          <cell r="B750" t="str">
            <v>MOTO BOMBA SOBRE RODAS GAS DE 10,5CV A 3600RPM (CP) C/BOMBA CENTRIFUGAAUTO-ESCORVANTE DE ROTOR ABERTO BOCAIS DE 3" - EXCL OPERADOR</v>
          </cell>
          <cell r="C750" t="str">
            <v>H</v>
          </cell>
          <cell r="D750">
            <v>13.46</v>
          </cell>
        </row>
        <row r="751">
          <cell r="A751">
            <v>73464</v>
          </cell>
          <cell r="B751" t="str">
            <v>CHP MAQUINA PROJETORA DE CONCRETO</v>
          </cell>
          <cell r="C751" t="str">
            <v>H</v>
          </cell>
          <cell r="D751">
            <v>13.23</v>
          </cell>
        </row>
        <row r="752">
          <cell r="A752">
            <v>73476</v>
          </cell>
          <cell r="B752" t="str">
            <v>MOTONIVELADORA MOTOR DIESEL 125CV INCL OPERADOR (CI)</v>
          </cell>
          <cell r="C752" t="str">
            <v>H</v>
          </cell>
          <cell r="D752">
            <v>81.599999999999994</v>
          </cell>
        </row>
        <row r="753">
          <cell r="A753">
            <v>73478</v>
          </cell>
          <cell r="B753" t="str">
            <v>MAQUINA DE JUNTAS GAS 8,25CV PART MANUAL (CP) INCL OPERADOR</v>
          </cell>
          <cell r="C753" t="str">
            <v>H</v>
          </cell>
          <cell r="D753">
            <v>77.040000000000006</v>
          </cell>
        </row>
        <row r="754">
          <cell r="A754">
            <v>73479</v>
          </cell>
          <cell r="B754" t="str">
            <v>DISTRIBUIDOR BETUME SOB PRESSAO GAS (CP) SOBRE CHASSIS CAMINHAO -     INCL ESTE C/MOTORISTA</v>
          </cell>
          <cell r="C754" t="str">
            <v>H</v>
          </cell>
          <cell r="D754">
            <v>221.34</v>
          </cell>
        </row>
        <row r="755">
          <cell r="A755">
            <v>73481</v>
          </cell>
          <cell r="B755" t="str">
            <v>ESCAVACAO MANUAL DE VALAS EM TERRA COMPACTA, PROF. DE 0 M &lt; H &lt;= 1 M</v>
          </cell>
          <cell r="C755" t="str">
            <v>M3</v>
          </cell>
          <cell r="D755">
            <v>23.36</v>
          </cell>
        </row>
        <row r="756">
          <cell r="A756">
            <v>73483</v>
          </cell>
          <cell r="B756" t="str">
            <v>CUSTOS C/MAO-DE-OBRA NA OPERACAO/CAMINHAO CARROCERIA FIXA FORD F-12000- 142HP</v>
          </cell>
          <cell r="C756" t="str">
            <v>H</v>
          </cell>
          <cell r="D756">
            <v>17.46</v>
          </cell>
        </row>
        <row r="757">
          <cell r="A757">
            <v>73484</v>
          </cell>
          <cell r="B757" t="str">
            <v>CUSTO HORARIO C/MAO-DE-OBRA NA OPERACAO - MOTONIVELADORA CATERPILLAR  120G - 125 HP</v>
          </cell>
          <cell r="C757" t="str">
            <v>H</v>
          </cell>
          <cell r="D757">
            <v>13.9</v>
          </cell>
        </row>
        <row r="758">
          <cell r="A758">
            <v>73486</v>
          </cell>
          <cell r="B758" t="str">
            <v>MARCO MADEIRA REGIONAL 1A 7X3,5CM - P</v>
          </cell>
          <cell r="C758" t="str">
            <v>M</v>
          </cell>
          <cell r="D758">
            <v>21.52</v>
          </cell>
        </row>
        <row r="759">
          <cell r="A759">
            <v>73487</v>
          </cell>
          <cell r="B759" t="str">
            <v>SERRA CIRCULAR MAKITA 5900B 7` 2,3HP - CHI</v>
          </cell>
          <cell r="C759" t="str">
            <v>H</v>
          </cell>
          <cell r="D759">
            <v>10.1</v>
          </cell>
        </row>
        <row r="760">
          <cell r="A760">
            <v>73491</v>
          </cell>
          <cell r="B760" t="str">
            <v>MAQUINA POLIDORA 4HP 12A 220V EXCL ESMERIL E OPERADOR (CP)</v>
          </cell>
          <cell r="C760" t="str">
            <v>H</v>
          </cell>
          <cell r="D760">
            <v>2.42</v>
          </cell>
        </row>
        <row r="761">
          <cell r="A761">
            <v>73495</v>
          </cell>
          <cell r="B761" t="str">
            <v>TRATOR ESTEIRAS DIESEL APROX 335CV C/LAMINA 5000KG (CP) INCL OPERADOR</v>
          </cell>
          <cell r="C761" t="str">
            <v>H</v>
          </cell>
          <cell r="D761">
            <v>563.97</v>
          </cell>
        </row>
        <row r="762">
          <cell r="A762">
            <v>73496</v>
          </cell>
          <cell r="B762" t="str">
            <v>SOCADOR PNEUMATICO 18,5KG CONSUMO AR 0,82M3/M (CP) INCL OPERADOR</v>
          </cell>
          <cell r="C762" t="str">
            <v>H</v>
          </cell>
          <cell r="D762">
            <v>3.45</v>
          </cell>
        </row>
        <row r="763">
          <cell r="A763">
            <v>73497</v>
          </cell>
          <cell r="B763" t="str">
            <v>CHP - COMPRESSOR DE 760PCM, MOTOR DIESEL 269HP, ATLAS COPCO, MOD XA360SB, OU SIMILAR</v>
          </cell>
          <cell r="C763" t="str">
            <v>H</v>
          </cell>
          <cell r="D763">
            <v>142.36000000000001</v>
          </cell>
        </row>
        <row r="764">
          <cell r="A764">
            <v>73501</v>
          </cell>
          <cell r="B764" t="str">
            <v>CUSTO HORARIO PRODUTIVO DIURNO - GUINCHO 8 T MUNCK - 640/18 SEM CAMINHAO MERCEDES BENZ 1418/51 184 HP</v>
          </cell>
          <cell r="C764" t="str">
            <v>CHP</v>
          </cell>
          <cell r="D764">
            <v>108.07</v>
          </cell>
        </row>
        <row r="765">
          <cell r="A765">
            <v>73529</v>
          </cell>
          <cell r="B765" t="str">
            <v>INSTALACAO DE AQUECIMENTO E ARMAZENAMENTO DE ASFALTO (CP) EM 2 TANQUESDE 30000L CADA - INCL OPERADOR</v>
          </cell>
          <cell r="C765" t="str">
            <v>H</v>
          </cell>
          <cell r="D765">
            <v>84.46</v>
          </cell>
        </row>
        <row r="766">
          <cell r="A766">
            <v>73531</v>
          </cell>
          <cell r="B766" t="str">
            <v>ALUGUEL CAMINHAO BASCUL NO TOCO 4M3 MOTOR DIESEL 85CV (CP) C/MOTORISTA</v>
          </cell>
          <cell r="C766" t="str">
            <v>H</v>
          </cell>
          <cell r="D766">
            <v>87.12</v>
          </cell>
        </row>
        <row r="767">
          <cell r="A767">
            <v>73532</v>
          </cell>
          <cell r="B767" t="str">
            <v>CUSTO HORARIO PRODUTIVO - TALHA MANUAL</v>
          </cell>
          <cell r="C767" t="str">
            <v>CHP</v>
          </cell>
          <cell r="D767">
            <v>0.37</v>
          </cell>
        </row>
        <row r="768">
          <cell r="A768">
            <v>73534</v>
          </cell>
          <cell r="B768" t="str">
            <v>CUSTO HORARIO IMPRODUTIVO DIURNO-RETRO-ESCAVADEIRA SOBRE RODAS - CASE 580 H - 74 HP</v>
          </cell>
          <cell r="C768" t="str">
            <v>CHI</v>
          </cell>
          <cell r="D768">
            <v>43.6</v>
          </cell>
        </row>
        <row r="769">
          <cell r="A769">
            <v>73535</v>
          </cell>
          <cell r="B769" t="str">
            <v>CHP - CAMINHAO C/GUINCHO 6T, MOTOR DIESEL 136HP, M. BENZ MOD L1214,   MUNCK MOD, M 640/18, OU SIMILAR</v>
          </cell>
          <cell r="C769" t="str">
            <v>H</v>
          </cell>
          <cell r="D769">
            <v>126</v>
          </cell>
        </row>
        <row r="770">
          <cell r="A770">
            <v>73553</v>
          </cell>
          <cell r="B770" t="str">
            <v>MAQUINA DE PINTAR FAIXA CONSMAQ FX24 14HP - CHP</v>
          </cell>
          <cell r="C770" t="str">
            <v>H</v>
          </cell>
          <cell r="D770">
            <v>184.49</v>
          </cell>
        </row>
        <row r="771">
          <cell r="A771">
            <v>73557</v>
          </cell>
          <cell r="B771" t="str">
            <v>MAQUINA POLIDORA 4HP 12AMP 220V EXCL ESMERIL E OPERADOR (CI)</v>
          </cell>
          <cell r="C771" t="str">
            <v>H</v>
          </cell>
          <cell r="D771">
            <v>1.02</v>
          </cell>
        </row>
        <row r="772">
          <cell r="A772">
            <v>73558</v>
          </cell>
          <cell r="B772" t="str">
            <v>LOCAÇÃO DE EXTRUSORA DE GUIAS E SARJETAS SEM FORMAS, MOTOR DIESEL DE 14CV, EXCLUSIVE OPERADOR (CI)</v>
          </cell>
          <cell r="C772" t="str">
            <v>H</v>
          </cell>
          <cell r="D772">
            <v>4.72</v>
          </cell>
        </row>
        <row r="773">
          <cell r="A773">
            <v>73559</v>
          </cell>
          <cell r="B773" t="str">
            <v>USINA PRE-MISTURADORA DE SOLOS CAPAC 350/600T/H (CI) INCL EQUIPE      DE OPERACAO</v>
          </cell>
          <cell r="C773" t="str">
            <v>H</v>
          </cell>
          <cell r="D773">
            <v>178.7</v>
          </cell>
        </row>
        <row r="774">
          <cell r="A774">
            <v>73560</v>
          </cell>
          <cell r="B774" t="str">
            <v>SOCADOR PNEUMATICO 18.5KG CONSUMO AR 0,82M3/M (CI) INCL OPERADOR</v>
          </cell>
          <cell r="C774" t="str">
            <v>H</v>
          </cell>
          <cell r="D774">
            <v>2.66</v>
          </cell>
        </row>
        <row r="775">
          <cell r="A775">
            <v>73563</v>
          </cell>
          <cell r="B775" t="str">
            <v>TRATOR ESTEIRAS DIESEL APROX 335CV C/LAMINA 5000KG (CI) INCL OPERADOR</v>
          </cell>
          <cell r="C775" t="str">
            <v>H</v>
          </cell>
          <cell r="D775">
            <v>239.49</v>
          </cell>
        </row>
        <row r="776">
          <cell r="A776">
            <v>73582</v>
          </cell>
          <cell r="B776" t="str">
            <v>TRATOR ESTEIRAS DIESEL APROX 200CV C/LAMINA 2500KG (CF) INCL OPERADOR</v>
          </cell>
          <cell r="C776" t="str">
            <v>H</v>
          </cell>
          <cell r="D776">
            <v>132.79</v>
          </cell>
        </row>
        <row r="777">
          <cell r="A777">
            <v>73601</v>
          </cell>
          <cell r="B777" t="str">
            <v>GRUPO GERADOR TRANSPORTAVEL SOBRE RODAS 60/66KVA (CF) DIESEL 85CV     EXCL OPERADOR</v>
          </cell>
          <cell r="C777" t="str">
            <v>H</v>
          </cell>
          <cell r="D777">
            <v>4.38</v>
          </cell>
        </row>
        <row r="778">
          <cell r="A778">
            <v>73602</v>
          </cell>
          <cell r="B778" t="str">
            <v>EQUIPAMENTO P/LIMP E DESOBSTRUCAO GALERIAS ESG/AGUAS PLUV-CP- TIPO    BUCKET MACHINE COMPLETA COM CACAMBA E 60 VARETAS - INCL OPERADOR</v>
          </cell>
          <cell r="C778" t="str">
            <v>H</v>
          </cell>
          <cell r="D778">
            <v>31.2</v>
          </cell>
        </row>
        <row r="779">
          <cell r="A779">
            <v>73709</v>
          </cell>
          <cell r="B779" t="str">
            <v>GRUPO GERADOR ESTACIONARIO C/ALTERNADOR 125/145KVA (CI) DIESEL 165CV  EXCL OPERADOR</v>
          </cell>
          <cell r="C779" t="str">
            <v>H</v>
          </cell>
          <cell r="D779">
            <v>6.51</v>
          </cell>
        </row>
        <row r="780">
          <cell r="A780">
            <v>73712</v>
          </cell>
          <cell r="B780" t="str">
            <v>EQUIPAMENTO ROTATIVO PARA DESOBSTRUCAO E LIMPEZA DE GALERIAS TP BUCKE MACHINE (CP) CONSIDERANDO APENAS A MANUTENCAO E MATERIAL DE OPERAÇÃO</v>
          </cell>
          <cell r="C780" t="str">
            <v>H</v>
          </cell>
          <cell r="D780">
            <v>16.41</v>
          </cell>
        </row>
        <row r="781">
          <cell r="A781" t="str">
            <v>74029/1</v>
          </cell>
          <cell r="B781" t="str">
            <v>BETONEIRA DIESEL 580L (CP) MISTURA SECA, CARREGAMENTO MECANICO E TAMBOR REVERSÍVEL. - EXCLUSIVE OPERADOR</v>
          </cell>
          <cell r="C781" t="str">
            <v>H</v>
          </cell>
          <cell r="D781">
            <v>14.93</v>
          </cell>
        </row>
        <row r="782">
          <cell r="A782" t="str">
            <v>74029/2</v>
          </cell>
          <cell r="B782" t="str">
            <v>BETONEIRA DIESEL, 580L (CI) MISTURA SECA, CARREGADOR MECANICO E TAMBOR REVERSÍVEL.- EXCLUSIVE OPERADOR</v>
          </cell>
          <cell r="C782" t="str">
            <v>H</v>
          </cell>
          <cell r="D782">
            <v>4.78</v>
          </cell>
        </row>
        <row r="783">
          <cell r="A783" t="str">
            <v>74030/1</v>
          </cell>
          <cell r="B783" t="str">
            <v>GUINDAUTO (CI) CAP.3,5 TON., MONTADO SOBRE CAMINHÃO TOCO (EXCL. O CAMINHÃO) APROX.2,0M DE ALCANCE HORIZONTAL, 7,0 NA VERTICAL.  EXCL. OPERADOR.</v>
          </cell>
          <cell r="C783" t="str">
            <v>H</v>
          </cell>
          <cell r="D783">
            <v>21.79</v>
          </cell>
        </row>
        <row r="784">
          <cell r="A784" t="str">
            <v>74030/2</v>
          </cell>
          <cell r="B784" t="str">
            <v>GUINDAUTO (CP) CARGA MAX 3,25T (A 2M) E 1,62T (A 4M), ALTURA MAX = 6,6M, MONTADO SOBRE CAMINHÃO TOCO (EXCL. O CAMINHÃO E OPERADOR).</v>
          </cell>
          <cell r="C784" t="str">
            <v>H</v>
          </cell>
          <cell r="D784">
            <v>24.53</v>
          </cell>
        </row>
        <row r="785">
          <cell r="A785" t="str">
            <v>74035/1</v>
          </cell>
          <cell r="B785" t="str">
            <v>CARREGADOR FRONTAL (PA CARREGADEIRA) SOBRE RODAS 105HP CAPACIDADE DA CAÇAMBA 1,4 A 1,7M3 - CHP - INCLUSIVE OPERADOR</v>
          </cell>
          <cell r="C785" t="str">
            <v>H</v>
          </cell>
          <cell r="D785">
            <v>123.91</v>
          </cell>
        </row>
        <row r="786">
          <cell r="A786" t="str">
            <v>74036/1</v>
          </cell>
          <cell r="B786" t="str">
            <v>TRATOR DE ESTEIRAS, 153HP - CHI - INCLUSIVE OPERADOR</v>
          </cell>
          <cell r="C786" t="str">
            <v>H</v>
          </cell>
          <cell r="D786">
            <v>105.33</v>
          </cell>
        </row>
        <row r="787">
          <cell r="A787" t="str">
            <v>74036/2</v>
          </cell>
          <cell r="B787" t="str">
            <v>TRATOR ESTEIRAS DIESEL 140CV - CHP - INCLUSIVE OPERADOR</v>
          </cell>
          <cell r="C787" t="str">
            <v>H</v>
          </cell>
          <cell r="D787">
            <v>238.62</v>
          </cell>
        </row>
        <row r="788">
          <cell r="A788" t="str">
            <v>74037/1</v>
          </cell>
          <cell r="B788" t="str">
            <v>CAMINHÃO BASCULANTE TOCO 4M3, MOTOR DIESEL 160CV COM MOTORISTA</v>
          </cell>
          <cell r="C788" t="str">
            <v>H</v>
          </cell>
          <cell r="D788">
            <v>95.38</v>
          </cell>
        </row>
        <row r="789">
          <cell r="A789" t="str">
            <v>74040/2</v>
          </cell>
          <cell r="B789" t="str">
            <v>SOQUETE COMPACTADOR 72KG, GASOLINA, 3HP, (CHI), EXCLUSIVE OPERADOR.</v>
          </cell>
          <cell r="C789" t="str">
            <v>H</v>
          </cell>
          <cell r="D789">
            <v>3.05</v>
          </cell>
        </row>
        <row r="790">
          <cell r="A790">
            <v>83354</v>
          </cell>
          <cell r="B790" t="str">
            <v>DEPRECIAÇAO E JUROS - CAMINHAO BASCULANTE TRUCADO - CARGA UTIL = 10 M3, 16,3 T</v>
          </cell>
          <cell r="C790" t="str">
            <v>H</v>
          </cell>
          <cell r="D790">
            <v>21.78</v>
          </cell>
        </row>
        <row r="791">
          <cell r="A791">
            <v>83355</v>
          </cell>
          <cell r="B791" t="str">
            <v>MANUTENCAO - CAMINHAO BASCULANTE TRUCADO - CARGA UTIL = 10 M3, 16,3 TON</v>
          </cell>
          <cell r="C791" t="str">
            <v>H</v>
          </cell>
          <cell r="D791">
            <v>24.5</v>
          </cell>
        </row>
        <row r="792">
          <cell r="A792">
            <v>83360</v>
          </cell>
          <cell r="B792" t="str">
            <v>DEPRECIACAO E JUROS - CAMINHAO DISTRIBUIDOR DE ASFALTO</v>
          </cell>
          <cell r="C792" t="str">
            <v>H</v>
          </cell>
          <cell r="D792">
            <v>49.23</v>
          </cell>
        </row>
        <row r="793">
          <cell r="A793">
            <v>83361</v>
          </cell>
          <cell r="B793" t="str">
            <v>MANUTENCAO - CAMINHAO DISTRIBUIDOR DE ASFALTO</v>
          </cell>
          <cell r="C793" t="str">
            <v>H</v>
          </cell>
          <cell r="D793">
            <v>27.81</v>
          </cell>
        </row>
        <row r="794">
          <cell r="A794">
            <v>83755</v>
          </cell>
          <cell r="B794" t="str">
            <v>DEPRECIACAO GUINDASTE MADAL MD-10A</v>
          </cell>
          <cell r="C794" t="str">
            <v>H</v>
          </cell>
          <cell r="D794">
            <v>38.86</v>
          </cell>
        </row>
        <row r="795">
          <cell r="A795">
            <v>83756</v>
          </cell>
          <cell r="B795" t="str">
            <v>JUROS GUINDASTE MADAL MD-10A</v>
          </cell>
          <cell r="C795" t="str">
            <v>H</v>
          </cell>
          <cell r="D795">
            <v>16.399999999999999</v>
          </cell>
        </row>
        <row r="796">
          <cell r="A796">
            <v>83757</v>
          </cell>
          <cell r="B796" t="str">
            <v>MANUTENCAO GUINDASTE MADAL MD-10A</v>
          </cell>
          <cell r="C796" t="str">
            <v>H</v>
          </cell>
          <cell r="D796">
            <v>32.03</v>
          </cell>
        </row>
        <row r="797">
          <cell r="A797">
            <v>83758</v>
          </cell>
          <cell r="B797" t="str">
            <v>CUSTOS COMBUSTIVEL+MATERIAL NA OPERACAO DE GUINDASTE MADAL MD-10A</v>
          </cell>
          <cell r="C797" t="str">
            <v>H</v>
          </cell>
          <cell r="D797">
            <v>41.88</v>
          </cell>
        </row>
        <row r="798">
          <cell r="A798">
            <v>83761</v>
          </cell>
          <cell r="B798" t="str">
            <v>DEPRECIACAO GRUPO DE SOLDAGEM BAMBOZZI 375-A</v>
          </cell>
          <cell r="C798" t="str">
            <v>H</v>
          </cell>
          <cell r="D798">
            <v>7.91</v>
          </cell>
        </row>
        <row r="799">
          <cell r="A799">
            <v>83762</v>
          </cell>
          <cell r="B799" t="str">
            <v>MANUTENCAO GRUPO DE SOLDAGEM BAMBOZZI 375-A</v>
          </cell>
          <cell r="C799" t="str">
            <v>H</v>
          </cell>
          <cell r="D799">
            <v>3.95</v>
          </cell>
        </row>
        <row r="800">
          <cell r="A800">
            <v>83763</v>
          </cell>
          <cell r="B800" t="str">
            <v>CUSTOS COMBUSTIVEL+MATERIAL GRUPO DE SOLDAGEM BAMBOZZI 375-A</v>
          </cell>
          <cell r="C800" t="str">
            <v>H</v>
          </cell>
          <cell r="D800">
            <v>12.3</v>
          </cell>
        </row>
        <row r="801">
          <cell r="A801">
            <v>83764</v>
          </cell>
          <cell r="B801" t="str">
            <v>JUROS GRUPO DE SOLDAGEM BAMBOZZI 375-A</v>
          </cell>
          <cell r="C801" t="str">
            <v>H</v>
          </cell>
          <cell r="D801">
            <v>2.0699999999999998</v>
          </cell>
        </row>
        <row r="802">
          <cell r="A802">
            <v>84000</v>
          </cell>
          <cell r="B802" t="str">
            <v>SOQUETE COMPACTADOR 72KG GASOLINA, 3HP (CHP) EXCLUSIVE OPERADOR.</v>
          </cell>
          <cell r="C802" t="str">
            <v>H</v>
          </cell>
          <cell r="D802">
            <v>6.89</v>
          </cell>
        </row>
        <row r="803">
          <cell r="A803">
            <v>84137</v>
          </cell>
          <cell r="B803" t="str">
            <v>DEPRECIACAO - USINA DE ASFALTO A FRIO ALMEIDA PMF-35 DPD CAP. 60/80 T/H - 30HP (ELETRICA)</v>
          </cell>
          <cell r="C803" t="str">
            <v>H</v>
          </cell>
          <cell r="D803">
            <v>16.09</v>
          </cell>
        </row>
        <row r="804">
          <cell r="A804">
            <v>84138</v>
          </cell>
          <cell r="B804" t="str">
            <v>JUROS - USINA DE ASFALTO A FRIO ALMEIDA PMF-35 DPD CAP. 60/80 T/H - 30 HP (ELETRICA)</v>
          </cell>
          <cell r="C804" t="str">
            <v>H</v>
          </cell>
          <cell r="D804">
            <v>6.08</v>
          </cell>
        </row>
        <row r="805">
          <cell r="A805">
            <v>84139</v>
          </cell>
          <cell r="B805" t="str">
            <v>MANUTENCAO - USINA DE ASFALTO A FRIO ALMEIDA PMF-35 DPD CAP 60/80 T/H - 30 HP (ELETRICA)</v>
          </cell>
          <cell r="C805" t="str">
            <v>H</v>
          </cell>
          <cell r="D805">
            <v>14.48</v>
          </cell>
        </row>
        <row r="806">
          <cell r="A806">
            <v>84140</v>
          </cell>
          <cell r="B806" t="str">
            <v>CUSTOS C/ MAO DE OBRA NA OPERACAO - USINA DE ASFALTO A FRIO ALMEIDA PMF-35 DPD CAP 60/80 T/H - 30 HP (ELETRICA)</v>
          </cell>
          <cell r="C806" t="str">
            <v>H</v>
          </cell>
          <cell r="D806">
            <v>46.99</v>
          </cell>
        </row>
        <row r="807">
          <cell r="A807">
            <v>84142</v>
          </cell>
          <cell r="B807" t="str">
            <v>DEPRECIACAO - CAMINHÃO TOCO VW 8120 EURO III 115 CV, CARROC. FIXA MADEIRA, PBT 7700 KG, C.UTIL + CARROC 4640 KG, COM MUNCK MADAL MD-6501 CARGA MAX 3,25T (A 2M) E 1,62T (A 4M)</v>
          </cell>
          <cell r="C807" t="str">
            <v>H</v>
          </cell>
          <cell r="D807">
            <v>13.81</v>
          </cell>
        </row>
        <row r="808">
          <cell r="A808">
            <v>84143</v>
          </cell>
          <cell r="B808" t="str">
            <v>JUROS - CAMINHÃO TOCO VW 8120 EURO III 115 CV, CARROC. FIXA MADEIRA, PBT 7700 KG, C.UTIL + CARROC 4640 KG, COM MUNCK MADAL MD-6501 CARGA MAX 3,25T (A 2M) E 1,62T (A 4M)</v>
          </cell>
          <cell r="C808" t="str">
            <v>H</v>
          </cell>
          <cell r="D808">
            <v>4.8</v>
          </cell>
        </row>
        <row r="809">
          <cell r="A809">
            <v>84144</v>
          </cell>
          <cell r="B809" t="str">
            <v>MANUTENCAO - CAMINHÃO TOCO VW 8120 EURO III 115 CV, CARROC. FIXA MADEIRA, PBT 7700 KG, C.UTIL + CARROC 4640 KG, COM MUNCK MADAL MD-6501 CARGA MAX 3,25T (A 2M) E 1,62T (A 4M)</v>
          </cell>
          <cell r="C809" t="str">
            <v>H</v>
          </cell>
          <cell r="D809">
            <v>10.33</v>
          </cell>
        </row>
        <row r="810">
          <cell r="A810">
            <v>84145</v>
          </cell>
          <cell r="B810" t="str">
            <v>MATERIAL NA OPERACAO - CAMINHÃO TOCO VW 8120 EURO III 115 CV, CARROC. FIXA MADEIRA, PBT 7700 KG, C.UTIL + CARROC 4640 KG, COM MUNCK MADAL MD-6501 CARGA MAX 3,25T (A 2M) E 1,62T (A 4M)</v>
          </cell>
          <cell r="C810" t="str">
            <v>H</v>
          </cell>
          <cell r="D810">
            <v>53.61</v>
          </cell>
        </row>
        <row r="811">
          <cell r="A811">
            <v>84146</v>
          </cell>
          <cell r="B811" t="str">
            <v>MAO-DEOBRA - CAMINHÃO TOCO VW 8120 EURO III 115 CV, CARROC. FIXA MADEIRA, PBT 7700 KG, C.UTIL + CARROC 4640 KG, COM MUNCK MADAL MD-6501 CARGA MAX 3,25T (A 2M) E 1,62T (A 4M)</v>
          </cell>
          <cell r="C811" t="str">
            <v>H</v>
          </cell>
          <cell r="D811">
            <v>18.79</v>
          </cell>
        </row>
        <row r="812">
          <cell r="A812">
            <v>84147</v>
          </cell>
          <cell r="B812" t="str">
            <v>DEPRECIACAO E JUROS - CAMINHAO BASCULANTE 10M3</v>
          </cell>
          <cell r="C812" t="str">
            <v>H</v>
          </cell>
          <cell r="D812">
            <v>25.28</v>
          </cell>
        </row>
        <row r="813">
          <cell r="A813">
            <v>84148</v>
          </cell>
          <cell r="B813" t="str">
            <v>MANUTENCAO - CAMINHAO BASCULANTE 10 M3</v>
          </cell>
          <cell r="C813" t="str">
            <v>H</v>
          </cell>
          <cell r="D813">
            <v>18.55</v>
          </cell>
        </row>
        <row r="814">
          <cell r="A814">
            <v>84149</v>
          </cell>
          <cell r="B814" t="str">
            <v>CUSTOS C/ MATERIAL OPERACAO  - CAMINHAO BASCULANTE 10 M3</v>
          </cell>
          <cell r="C814" t="str">
            <v>H</v>
          </cell>
          <cell r="D814">
            <v>83.91</v>
          </cell>
        </row>
        <row r="815">
          <cell r="A815">
            <v>84150</v>
          </cell>
          <cell r="B815" t="str">
            <v>CUSTOS C/ MAO-DE-OBRA OPERACAO  - CAMINHAO BASCULANTE 10 M3</v>
          </cell>
          <cell r="C815" t="str">
            <v>H</v>
          </cell>
          <cell r="D815">
            <v>16.100000000000001</v>
          </cell>
        </row>
        <row r="816">
          <cell r="A816">
            <v>84151</v>
          </cell>
          <cell r="B816" t="str">
            <v>CAMINHAO BASCULANTE 10 M3 - CHP</v>
          </cell>
          <cell r="C816" t="str">
            <v>CHP</v>
          </cell>
          <cell r="D816">
            <v>143.85</v>
          </cell>
        </row>
        <row r="817">
          <cell r="A817">
            <v>84155</v>
          </cell>
          <cell r="B817" t="str">
            <v>DESEMPENADEIRA ELETR 2 CV 4 POLOS 220/380V COMPACTADORA E DENSADORA P/ ACAB PISO CONCRETO - EXCL OPERADOR (CP)</v>
          </cell>
          <cell r="C817" t="str">
            <v>H</v>
          </cell>
          <cell r="D817">
            <v>1.44</v>
          </cell>
        </row>
        <row r="818">
          <cell r="A818">
            <v>84156</v>
          </cell>
          <cell r="B818" t="str">
            <v>REGUA VIBRATORIA DUPLA GASOLINA 3/4CV A 3600RPM DE FREQUENCIA - EXCLUSIVE OPERADOR (CP)</v>
          </cell>
          <cell r="C818" t="str">
            <v>H</v>
          </cell>
          <cell r="D818">
            <v>5.56</v>
          </cell>
        </row>
        <row r="819">
          <cell r="A819">
            <v>84157</v>
          </cell>
          <cell r="B819" t="str">
            <v>DESEMPENADEIRA ELETR MOTOR 2CV 4 POLOS 220/380V COMPACTADORA E ADENSADORA PARA PISO ACABADO DE CONCRETO - EXCLUSIVE OPERADOR (CI)</v>
          </cell>
          <cell r="C819" t="str">
            <v>H</v>
          </cell>
          <cell r="D819">
            <v>0.68</v>
          </cell>
        </row>
        <row r="820">
          <cell r="A820">
            <v>84160</v>
          </cell>
          <cell r="B820" t="str">
            <v>REGUA VIBRADORA DUPLA GASOLINA 3/4 CV A 3600 RPM FREQUENCIA - EXCLUSIVE OPERADOR (CI)</v>
          </cell>
          <cell r="C820" t="str">
            <v>H</v>
          </cell>
          <cell r="D820">
            <v>0.85</v>
          </cell>
        </row>
        <row r="821">
          <cell r="A821">
            <v>87026</v>
          </cell>
          <cell r="B821" t="str">
            <v>GRADE DE DISCO REBOCÁVEL 20X24" COM 20 DISCOS DIAM 24X6MM COM PNEUS PARA TRANSPORTE - JUROS. AF_01/2014</v>
          </cell>
          <cell r="C821" t="str">
            <v>H</v>
          </cell>
          <cell r="D821">
            <v>0.52</v>
          </cell>
        </row>
        <row r="822">
          <cell r="A822">
            <v>55960</v>
          </cell>
          <cell r="B822" t="str">
            <v>IMUNIZACAO DE MADEIRAMENTO PARA COBERTURA UTILIZANDO CUPINICIDA INCOLOR</v>
          </cell>
          <cell r="C822" t="str">
            <v>M2</v>
          </cell>
          <cell r="D822">
            <v>4.05</v>
          </cell>
        </row>
        <row r="823">
          <cell r="A823">
            <v>72085</v>
          </cell>
          <cell r="B823" t="str">
            <v>RECOLOCACAO DE RIPAS EM MADEIRAMENTO DE TELHADO, CONSIDERANDO REAPROVEITAMENTO DE MATERIAL</v>
          </cell>
          <cell r="C823" t="str">
            <v>M</v>
          </cell>
          <cell r="D823">
            <v>0.98</v>
          </cell>
        </row>
        <row r="824">
          <cell r="A824">
            <v>72086</v>
          </cell>
          <cell r="B824" t="str">
            <v>RECOLOCACAO DE MADEIRAMENTO DO TELHADO - CAIBROS, CONSIDERANDO REAPROVEITAMENTO DE MATERIAL</v>
          </cell>
          <cell r="C824" t="str">
            <v>M</v>
          </cell>
          <cell r="D824">
            <v>2.98</v>
          </cell>
        </row>
        <row r="825">
          <cell r="A825">
            <v>72087</v>
          </cell>
          <cell r="B825" t="str">
            <v>RECOLOCACAO DE MADEIRAMENTO DE TELHADO, CONSIDERANDO REAPROVEITAMENTO DE MATERIAL</v>
          </cell>
          <cell r="C825" t="str">
            <v>M</v>
          </cell>
          <cell r="D825">
            <v>7.94</v>
          </cell>
        </row>
        <row r="826">
          <cell r="A826">
            <v>72088</v>
          </cell>
          <cell r="B826" t="str">
            <v>RECOLOCACAO DE FERRAGENS EM MADEIRAMENTO DE TELHADO, CONSIDERANDO REAPROVEITAMENTO DE MATERIAL</v>
          </cell>
          <cell r="C826" t="str">
            <v>UN</v>
          </cell>
          <cell r="D826">
            <v>5.85</v>
          </cell>
        </row>
        <row r="827">
          <cell r="A827" t="str">
            <v>73931/1</v>
          </cell>
          <cell r="B827" t="str">
            <v>ESTRUTURA EM MADEIRA APARELHADA, PARA TELHA ONDULADA DE FIBROCIMENTO, ALUMINIO OU PLASTICA, APOIADA EM LAJE OU PAREDE</v>
          </cell>
          <cell r="C827" t="str">
            <v>M2</v>
          </cell>
          <cell r="D827">
            <v>36.590000000000003</v>
          </cell>
        </row>
        <row r="828">
          <cell r="A828" t="str">
            <v>73931/2</v>
          </cell>
          <cell r="B828" t="str">
            <v>ESTRUTURA EM MADEIRA APARELHADA, PARA TELHA ESTRUTURAL DE FIBROCIMENTO ANCORADA EM LAJE OU PAREDE</v>
          </cell>
          <cell r="C828" t="str">
            <v>M2</v>
          </cell>
          <cell r="D828">
            <v>27.78</v>
          </cell>
        </row>
        <row r="829">
          <cell r="A829" t="str">
            <v>73931/3</v>
          </cell>
          <cell r="B829" t="str">
            <v>ESTRUTURA EM MADEIRA APARELHADA, PARA TELHA CERAMICA, APOIADA EM PAREDE</v>
          </cell>
          <cell r="C829" t="str">
            <v>M2</v>
          </cell>
          <cell r="D829">
            <v>68.16</v>
          </cell>
        </row>
        <row r="830">
          <cell r="A830" t="str">
            <v>73939/1</v>
          </cell>
          <cell r="B830" t="str">
            <v>TESOURA COMPLETA EM MASSARANDUBA SERRADA, PARA TELHADOS COM VAOS DE 4M</v>
          </cell>
          <cell r="C830" t="str">
            <v>UN</v>
          </cell>
          <cell r="D830">
            <v>582.45000000000005</v>
          </cell>
        </row>
        <row r="831">
          <cell r="A831" t="str">
            <v>73939/2</v>
          </cell>
          <cell r="B831" t="str">
            <v>TESOURA COMPLETA EM MASSARANDUBA APARELHADA, PARA TELHADOS COM VAOS DE 4M</v>
          </cell>
          <cell r="C831" t="str">
            <v>UN</v>
          </cell>
          <cell r="D831">
            <v>956.65</v>
          </cell>
        </row>
        <row r="832">
          <cell r="A832" t="str">
            <v>73939/3</v>
          </cell>
          <cell r="B832" t="str">
            <v>TESOURA COMPLETA EM MASSARANDUBA SERRADA, PARA TELHADOS COM VAOS DE 5M</v>
          </cell>
          <cell r="C832" t="str">
            <v>UN</v>
          </cell>
          <cell r="D832">
            <v>700.68</v>
          </cell>
        </row>
        <row r="833">
          <cell r="A833" t="str">
            <v>73939/4</v>
          </cell>
          <cell r="B833" t="str">
            <v>TESOURA COMPLETA EM MASSARANDUBA APARELHADA, PARA TELHADOS COM VAOS DE 5M</v>
          </cell>
          <cell r="C833" t="str">
            <v>UN</v>
          </cell>
          <cell r="D833">
            <v>989.23</v>
          </cell>
        </row>
        <row r="834">
          <cell r="A834" t="str">
            <v>73939/5</v>
          </cell>
          <cell r="B834" t="str">
            <v>TESOURA COMPLETA EM MASSARANDUBA SERRADA, PARA TELHADOS COM VAOS DE 6M</v>
          </cell>
          <cell r="C834" t="str">
            <v>UN</v>
          </cell>
          <cell r="D834">
            <v>868.1</v>
          </cell>
        </row>
        <row r="835">
          <cell r="A835" t="str">
            <v>73939/6</v>
          </cell>
          <cell r="B835" t="str">
            <v>TESOURA COMPLETA EM MASSARANDUBA APARELHADA, PARA TELHADOS COM VAOS DE 6M</v>
          </cell>
          <cell r="C835" t="str">
            <v>UN</v>
          </cell>
          <cell r="D835">
            <v>1233.1099999999999</v>
          </cell>
        </row>
        <row r="836">
          <cell r="A836" t="str">
            <v>73939/7</v>
          </cell>
          <cell r="B836" t="str">
            <v>TESOURA COMPLETA EM MASSARANDUBA SERRADA, PARA TELHADOS COM VAOS DE 7M</v>
          </cell>
          <cell r="C836" t="str">
            <v>UN</v>
          </cell>
          <cell r="D836">
            <v>1006.65</v>
          </cell>
        </row>
        <row r="837">
          <cell r="A837" t="str">
            <v>73939/8</v>
          </cell>
          <cell r="B837" t="str">
            <v>TESOURA COMPLETA EM MASSARANDUBA APARELHADA, PARA TELHADOS COM VAOS DE 7M</v>
          </cell>
          <cell r="C837" t="str">
            <v>UN</v>
          </cell>
          <cell r="D837">
            <v>1442.72</v>
          </cell>
        </row>
        <row r="838">
          <cell r="A838" t="str">
            <v>73939/9</v>
          </cell>
          <cell r="B838" t="str">
            <v>TESOURA COMPLETA EM MASSARANDUBA SERRADA, PARA TELHADOS COM VAOS DE 8M</v>
          </cell>
          <cell r="C838" t="str">
            <v>UN</v>
          </cell>
          <cell r="D838">
            <v>1260.3</v>
          </cell>
        </row>
        <row r="839">
          <cell r="A839" t="str">
            <v>73939/10</v>
          </cell>
          <cell r="B839" t="str">
            <v>TESOURA COMPLETA EM MASSARANDUBA APARELHADA, PARA TELHADOS COM VAOS DE 8M</v>
          </cell>
          <cell r="C839" t="str">
            <v>UN</v>
          </cell>
          <cell r="D839">
            <v>1999.96</v>
          </cell>
        </row>
        <row r="840">
          <cell r="A840" t="str">
            <v>73939/11</v>
          </cell>
          <cell r="B840" t="str">
            <v>TESOURA COMPLETA EM MASSARANDUBA SERRADA, PARA TELHADOS COM VAOS DE 9M</v>
          </cell>
          <cell r="C840" t="str">
            <v>UN</v>
          </cell>
          <cell r="D840">
            <v>1418.37</v>
          </cell>
        </row>
        <row r="841">
          <cell r="A841" t="str">
            <v>73939/12</v>
          </cell>
          <cell r="B841" t="str">
            <v>TESOURA COMPLETA EM MASSARANDUBA APARELHADA, PARA TELHADOS COM VAOS DE 9M</v>
          </cell>
          <cell r="C841" t="str">
            <v>UN</v>
          </cell>
          <cell r="D841">
            <v>2259.3200000000002</v>
          </cell>
        </row>
        <row r="842">
          <cell r="A842" t="str">
            <v>73939/13</v>
          </cell>
          <cell r="B842" t="str">
            <v>TESOURA COMPLETA EM MASSARANDUBA SERRADA, PARA TELHADOS COM VAOS DE 10M</v>
          </cell>
          <cell r="C842" t="str">
            <v>UN</v>
          </cell>
          <cell r="D842">
            <v>1670.37</v>
          </cell>
        </row>
        <row r="843">
          <cell r="A843" t="str">
            <v>73939/14</v>
          </cell>
          <cell r="B843" t="str">
            <v>TESOURA COMPLETA EM MASSARANDUBA APARELHADA, PARA TELHADOS COM VAOS DE 10M</v>
          </cell>
          <cell r="C843" t="str">
            <v>UN</v>
          </cell>
          <cell r="D843">
            <v>2506.64</v>
          </cell>
        </row>
        <row r="844">
          <cell r="A844" t="str">
            <v>73939/15</v>
          </cell>
          <cell r="B844" t="str">
            <v>TESOURA COMPLETA EM MASSARANDUBA SERRADA, PARA TELHADOS COM VAOS DE 11M</v>
          </cell>
          <cell r="C844" t="str">
            <v>UN</v>
          </cell>
          <cell r="D844">
            <v>1960.64</v>
          </cell>
        </row>
        <row r="845">
          <cell r="A845" t="str">
            <v>73939/16</v>
          </cell>
          <cell r="B845" t="str">
            <v>TESOURA COMPLETA EM MACARANDUBA APARELHADA, PARA TELHADOS COM VAOS DE 11M</v>
          </cell>
          <cell r="C845" t="str">
            <v>UN</v>
          </cell>
          <cell r="D845">
            <v>2954.04</v>
          </cell>
        </row>
        <row r="846">
          <cell r="A846" t="str">
            <v>73939/17</v>
          </cell>
          <cell r="B846" t="str">
            <v>TESOURA COMPLETA EM MASSARANDUBA SERRADA, PARA TELHADOS COM VAOS DE 12M</v>
          </cell>
          <cell r="C846" t="str">
            <v>UN</v>
          </cell>
          <cell r="D846">
            <v>2162.02</v>
          </cell>
        </row>
        <row r="847">
          <cell r="A847" t="str">
            <v>73939/18</v>
          </cell>
          <cell r="B847" t="str">
            <v>TESOURA COMPLETA EM MASSARANDUBA APARELHADA, PARA TELHADOS COM VAOS DE 12M</v>
          </cell>
          <cell r="C847" t="str">
            <v>UN</v>
          </cell>
          <cell r="D847">
            <v>3271.5</v>
          </cell>
        </row>
        <row r="848">
          <cell r="A848" t="str">
            <v>73939/19</v>
          </cell>
          <cell r="B848" t="str">
            <v>TESOURA COMPLETA EM MASSARANDUBA SERRADA, PARA TELHADOS COM VAOS DE 14M</v>
          </cell>
          <cell r="C848" t="str">
            <v>UN</v>
          </cell>
          <cell r="D848">
            <v>2498.56</v>
          </cell>
        </row>
        <row r="849">
          <cell r="A849" t="str">
            <v>73939/20</v>
          </cell>
          <cell r="B849" t="str">
            <v>TESOURA COMPLETA EM MASSARANDUBA APARELHADA, PARA TELHADOS COM VAOS DE 14M</v>
          </cell>
          <cell r="C849" t="str">
            <v>UN</v>
          </cell>
          <cell r="D849">
            <v>3767.02</v>
          </cell>
        </row>
        <row r="850">
          <cell r="A850">
            <v>84005</v>
          </cell>
          <cell r="B850" t="str">
            <v>GRADEADO DE CAIBROS E RIPAS</v>
          </cell>
          <cell r="C850" t="str">
            <v>M2</v>
          </cell>
          <cell r="D850">
            <v>28.66</v>
          </cell>
        </row>
        <row r="851">
          <cell r="A851">
            <v>84006</v>
          </cell>
          <cell r="B851" t="str">
            <v>PONTALETES EM MASSARANDUBA SERRADA 3"X3" PARA TELHAS CERAMICAS, MEDIDOS PELA AREA REAL DA COBERTURA DO TELHADO, INCLUSO FORNECIMENTO E COLOCACAO</v>
          </cell>
          <cell r="C851" t="str">
            <v>M2</v>
          </cell>
          <cell r="D851">
            <v>23.82</v>
          </cell>
        </row>
        <row r="852">
          <cell r="A852">
            <v>84007</v>
          </cell>
          <cell r="B852" t="str">
            <v>PONTALETES EM MASSARANDUBA SERRADA 3"X3" PARA TELHAS ONDULADAS DE QUALQUER TIPO, MEDIDOS PELA AREA REAL DA COBERTURA DO TELHADO, INCLUSO FORNECIMENTO E COLOCACAO</v>
          </cell>
          <cell r="C852" t="str">
            <v>M2</v>
          </cell>
          <cell r="D852">
            <v>20.34</v>
          </cell>
        </row>
        <row r="853">
          <cell r="A853">
            <v>84008</v>
          </cell>
          <cell r="B853" t="str">
            <v>TERCA DE MASSARANDUBA SERRADA 3"X3" PARA COBERTURA DE QUALQUER TIPO, INCLUSO FORNECIMENTO E COLOCACAO</v>
          </cell>
          <cell r="C853" t="str">
            <v>M</v>
          </cell>
          <cell r="D853">
            <v>15.1</v>
          </cell>
        </row>
        <row r="854">
          <cell r="A854">
            <v>84009</v>
          </cell>
          <cell r="B854" t="str">
            <v>TERCA DE MASSARANDUBA APARELHADA 3"X3" PARA COBERTURA DE QUALQUER TIPO, INCLUSO FORNECIMENTO E COLOCACAO</v>
          </cell>
          <cell r="C854" t="str">
            <v>M</v>
          </cell>
          <cell r="D854">
            <v>24.16</v>
          </cell>
        </row>
        <row r="855">
          <cell r="A855">
            <v>84010</v>
          </cell>
          <cell r="B855" t="str">
            <v>TERCA DE MASSARANDUBA SERRADA 3"X4.1/2" PARA COBERTURA DE QUALQUER TIPO, INCLUSO FORNECIMENTO E COLOCAÇÃO</v>
          </cell>
          <cell r="C855" t="str">
            <v>M</v>
          </cell>
          <cell r="D855">
            <v>19.82</v>
          </cell>
        </row>
        <row r="856">
          <cell r="A856">
            <v>84011</v>
          </cell>
          <cell r="B856" t="str">
            <v>TERCA DE MASSARANDUBA APARELHADA 3"X4.1/2" PARA COBERTURA DE QUALQUER TIPO, INCLUSO FORNECIMENTO E COLOCACAO</v>
          </cell>
          <cell r="C856" t="str">
            <v>M</v>
          </cell>
          <cell r="D856">
            <v>35.700000000000003</v>
          </cell>
        </row>
        <row r="857">
          <cell r="A857">
            <v>84012</v>
          </cell>
          <cell r="B857" t="str">
            <v>TERCA DE MASSARANDUBA SERRADA 3X6 PARA COBERTURA DE QUALQUER TIPO, INCLUSO FORNECIMENTO E COLOCACAO</v>
          </cell>
          <cell r="C857" t="str">
            <v>M</v>
          </cell>
          <cell r="D857">
            <v>28.23</v>
          </cell>
        </row>
        <row r="858">
          <cell r="A858">
            <v>84014</v>
          </cell>
          <cell r="B858" t="str">
            <v>TERCA DE MASSARANDUBA APARELHADA 3"X6" PARA COBERTURA DE QUALQUER TIPO, INCLUSO FORNECIMENTO E COLOCACAO</v>
          </cell>
          <cell r="C858" t="str">
            <v>M</v>
          </cell>
          <cell r="D858">
            <v>45.99</v>
          </cell>
        </row>
        <row r="859">
          <cell r="A859">
            <v>84016</v>
          </cell>
          <cell r="B859" t="str">
            <v>TERCA DE MASSARANDUBA SERRADA 3"X9" PARA COBERTURA DE QUALQUER TIPO, INCLUSO FORNECIMENTO E COLOCACAO</v>
          </cell>
          <cell r="C859" t="str">
            <v>M</v>
          </cell>
          <cell r="D859">
            <v>40.380000000000003</v>
          </cell>
        </row>
        <row r="860">
          <cell r="A860">
            <v>84018</v>
          </cell>
          <cell r="B860" t="str">
            <v>TERCA DE MASSARANDUBA APARELHADA 3"X9" PARA COBERTURA DE QUALQUER TIPO, INCLUSO FORNECIMENTO E COLOCACAO</v>
          </cell>
          <cell r="C860" t="str">
            <v>M</v>
          </cell>
          <cell r="D860">
            <v>67.900000000000006</v>
          </cell>
        </row>
        <row r="861">
          <cell r="A861">
            <v>84019</v>
          </cell>
          <cell r="B861" t="str">
            <v>CAIBRO DE MASSARANDUBA APARELHADA 3X2, INCLUSO FORNECIMENTO E COLOCACAO</v>
          </cell>
          <cell r="C861" t="str">
            <v>M</v>
          </cell>
          <cell r="D861">
            <v>16.54</v>
          </cell>
        </row>
        <row r="862">
          <cell r="A862">
            <v>84022</v>
          </cell>
          <cell r="B862" t="str">
            <v>CAIBRO DE MASSARANDUBA APARELHADA 3X1.1/2, INCLUSO FORNECIMENTO E COLOCACAO</v>
          </cell>
          <cell r="C862" t="str">
            <v>M</v>
          </cell>
          <cell r="D862">
            <v>14.51</v>
          </cell>
        </row>
        <row r="863">
          <cell r="A863">
            <v>84025</v>
          </cell>
          <cell r="B863" t="str">
            <v>CAIBRO DE MASSARANDUBA APARELHADA 3X4.1/2, INCLUSO FORNECIMENTO E COLOCACAO</v>
          </cell>
          <cell r="C863" t="str">
            <v>M</v>
          </cell>
          <cell r="D863">
            <v>33.78</v>
          </cell>
        </row>
        <row r="864">
          <cell r="A864">
            <v>84029</v>
          </cell>
          <cell r="B864" t="str">
            <v>RIPA DE MASSARANDUBA SERRADA 1,5X4 CM, INCLUSO FORNECIMENTO E COLOCACAO</v>
          </cell>
          <cell r="C864" t="str">
            <v>M</v>
          </cell>
          <cell r="D864">
            <v>6.79</v>
          </cell>
        </row>
        <row r="865">
          <cell r="A865">
            <v>84030</v>
          </cell>
          <cell r="B865" t="str">
            <v>RIPA DE MASSARANDUBA APARELHADA 1,5X4 CM, INCLUSO FORNECIMENTO E COLOCACAO</v>
          </cell>
          <cell r="C865" t="str">
            <v>M</v>
          </cell>
          <cell r="D865">
            <v>3.54</v>
          </cell>
        </row>
        <row r="866">
          <cell r="A866">
            <v>84031</v>
          </cell>
          <cell r="B866" t="str">
            <v>ESTRUTURA DE MADEIRA COM TESOURA, PARA VAOS DE 15 M E TELHA ONDULADA DE FIBROCIMENTO, ALUMINIO OU PLASTICA</v>
          </cell>
          <cell r="C866" t="str">
            <v>M2</v>
          </cell>
          <cell r="D866">
            <v>77.34</v>
          </cell>
        </row>
        <row r="867">
          <cell r="A867">
            <v>84032</v>
          </cell>
          <cell r="B867" t="str">
            <v>MAO FRANCESA EXECUTADA COM MADEIRA NAO APARELHADA 5X6 CM, PARA BEIRAL COM COMPRIMENTO DE 80CM</v>
          </cell>
          <cell r="C867" t="str">
            <v>UN</v>
          </cell>
          <cell r="D867">
            <v>34.36</v>
          </cell>
        </row>
        <row r="868">
          <cell r="A868">
            <v>72089</v>
          </cell>
          <cell r="B868" t="str">
            <v>RECOLOCACAO DE TELHAS CERAMICAS TIPO FRANCESA, CONSIDERANDO REAPROVEITAMENTO DE MATERIAL</v>
          </cell>
          <cell r="C868" t="str">
            <v>M2</v>
          </cell>
          <cell r="D868">
            <v>5.73</v>
          </cell>
        </row>
        <row r="869">
          <cell r="A869">
            <v>72091</v>
          </cell>
          <cell r="B869" t="str">
            <v>RECOLOCACAO DE TELHAS CERAMICAS TIPO PLAN, CONSIDERANDO REAPROVEITAMENTO DE MATERIAL</v>
          </cell>
          <cell r="C869" t="str">
            <v>M2</v>
          </cell>
          <cell r="D869">
            <v>20.97</v>
          </cell>
        </row>
        <row r="870">
          <cell r="A870">
            <v>72101</v>
          </cell>
          <cell r="B870" t="str">
            <v>REVISAO GERAL DE TELHADOS DE TELHAS CERAMICAS</v>
          </cell>
          <cell r="C870" t="str">
            <v>M2</v>
          </cell>
          <cell r="D870">
            <v>3.71</v>
          </cell>
        </row>
        <row r="871">
          <cell r="A871">
            <v>72103</v>
          </cell>
          <cell r="B871" t="str">
            <v>RECOLOCACAO DE CUMEEIRAS CERAMICAS COM ARGAMASSA TRACO 1:2:8 (CIMENTO, CAL E AREIA), CONSIDERANDO APROVEITAMENTO DO MATERIAL</v>
          </cell>
          <cell r="C871" t="str">
            <v>M</v>
          </cell>
          <cell r="D871">
            <v>10.72</v>
          </cell>
        </row>
        <row r="872">
          <cell r="A872" t="str">
            <v>73938/1</v>
          </cell>
          <cell r="B872" t="str">
            <v>COBERTURA EM TELHA CERAMICA TIPO COLONIAL, COM ARGAMASSA TRACO 1:3 (CIMENTO E AREIA)</v>
          </cell>
          <cell r="C872" t="str">
            <v>M2</v>
          </cell>
          <cell r="D872">
            <v>79.33</v>
          </cell>
        </row>
        <row r="873">
          <cell r="A873" t="str">
            <v>73938/2</v>
          </cell>
          <cell r="B873" t="str">
            <v>COBERTURA EM TELHA CERAMICA TIPO PLAN, EXCLUINDO MADEIRAMENTO</v>
          </cell>
          <cell r="C873" t="str">
            <v>M2</v>
          </cell>
          <cell r="D873">
            <v>71.930000000000007</v>
          </cell>
        </row>
        <row r="874">
          <cell r="A874" t="str">
            <v>73938/3</v>
          </cell>
          <cell r="B874" t="str">
            <v>COBERTURA EM TELHA CERAMICA TIPO FRANCESA OU MARSELHA, EXCLUINDO MADEIRAMENTO</v>
          </cell>
          <cell r="C874" t="str">
            <v>M2</v>
          </cell>
          <cell r="D874">
            <v>45.98</v>
          </cell>
        </row>
        <row r="875">
          <cell r="A875" t="str">
            <v>73938/4</v>
          </cell>
          <cell r="B875" t="str">
            <v>COBERTURA EM TELHA CERAMICA TIPO CANAL, COM ARGAMASSA TRACO 1:3 (CIMENTO E AREIA) E ARAME RECOZIDO</v>
          </cell>
          <cell r="C875" t="str">
            <v>M2</v>
          </cell>
          <cell r="D875">
            <v>59.83</v>
          </cell>
        </row>
        <row r="876">
          <cell r="A876" t="str">
            <v>73938/5</v>
          </cell>
          <cell r="B876" t="str">
            <v>COBERTURA EM TELHA CERAMICA TIPO PAULISTA, COM ARGAMASSA TRACO 1:3 (CIMENTO E AREIA) E ARAME RECOZIDO</v>
          </cell>
          <cell r="C876" t="str">
            <v>M2</v>
          </cell>
          <cell r="D876">
            <v>62.33</v>
          </cell>
        </row>
        <row r="877">
          <cell r="A877" t="str">
            <v>73938/6</v>
          </cell>
          <cell r="B877" t="str">
            <v>CORDAO DE ARREMATE EM BEIRAIS COM TELHA CERAMICA EMBOCADA TRACO 1:2:8 (CIMENTO, CAL E AREIA)</v>
          </cell>
          <cell r="C877" t="str">
            <v>M</v>
          </cell>
          <cell r="D877">
            <v>16.22</v>
          </cell>
        </row>
        <row r="878">
          <cell r="A878" t="str">
            <v>73938/7</v>
          </cell>
          <cell r="B878" t="str">
            <v>EMBOCAMENTO DE ULTIMA FIADA DE TELHA PLAN, COLONIAL OU PAULISTA, COM ARGAMASSA TRACO 1:2:8 (CIMENTO, CAL E AREIA)</v>
          </cell>
          <cell r="C878" t="str">
            <v>M</v>
          </cell>
          <cell r="D878">
            <v>6.76</v>
          </cell>
        </row>
        <row r="879">
          <cell r="A879" t="str">
            <v>76450/1</v>
          </cell>
          <cell r="B879" t="str">
            <v>COBERTURA EM TELHA CERAMICA TIPO PAULISTINHA (TRAPEZOIDAL), COM ARGAMASSA TRACO 1:3 (CIMENTO E AREIA) E ARAME RECOZIDO</v>
          </cell>
          <cell r="C879" t="str">
            <v>M2</v>
          </cell>
          <cell r="D879">
            <v>64.349999999999994</v>
          </cell>
        </row>
        <row r="880">
          <cell r="A880">
            <v>84033</v>
          </cell>
          <cell r="B880" t="str">
            <v>COBERTURA COM TELHA COLONIAL, EXCLUINDO MADEIRAMENTO</v>
          </cell>
          <cell r="C880" t="str">
            <v>M2</v>
          </cell>
          <cell r="D880">
            <v>55.77</v>
          </cell>
        </row>
        <row r="881">
          <cell r="A881">
            <v>72092</v>
          </cell>
          <cell r="B881" t="str">
            <v>RECOLOCACAO DE TELHAS ONDULADAS COM MASSA PARA VEDACAO, CONSIDERANDO REAPROVEITAMENTO DE MATERIAL</v>
          </cell>
          <cell r="C881" t="str">
            <v>M2</v>
          </cell>
          <cell r="D881">
            <v>5.82</v>
          </cell>
        </row>
        <row r="882">
          <cell r="A882">
            <v>72093</v>
          </cell>
          <cell r="B882" t="str">
            <v>RECOLOCAÇÃO DE TELHA DE FIBROCIMENTO ESTRUTURAL LARGURA ÚTIL 49CM OU 44CM, CONSIDERANDO O    REAPROVEITAMENTO DO MATERIAL A EXCEÇÃO DO CONJUNTO DE ARRUELAS DE VEDAÇÃO</v>
          </cell>
          <cell r="C882" t="str">
            <v>M2</v>
          </cell>
          <cell r="D882">
            <v>5.75</v>
          </cell>
        </row>
        <row r="883">
          <cell r="A883">
            <v>72094</v>
          </cell>
          <cell r="B883" t="str">
            <v>RECOLOCAÇÃO DE TELHA DE FIBROCIMENTO ESTRUTURAL LARGURA ÚTIL 90CM, CONSIDERANDO O REAPROVEITAMENTO DO MATERIAL A EXCEÇÃO DO CONJUNTO DE ARRUELAS DE VEDAÇÃO</v>
          </cell>
          <cell r="C883" t="str">
            <v>M2</v>
          </cell>
          <cell r="D883">
            <v>5.67</v>
          </cell>
        </row>
        <row r="884">
          <cell r="A884">
            <v>73633</v>
          </cell>
          <cell r="B884" t="str">
            <v>COBERTURA COM TELHA DE FIBROCIMENTO ESTRUTURAL LARGURA UTIL 90CM, INCLUSO ACESSORIOS DE FIXACAO E VEDACAO</v>
          </cell>
          <cell r="C884" t="str">
            <v>M2</v>
          </cell>
          <cell r="D884">
            <v>52.47</v>
          </cell>
        </row>
        <row r="885">
          <cell r="A885">
            <v>73634</v>
          </cell>
          <cell r="B885" t="str">
            <v>COBERTURA COM TELHA DE FIBROCIMENTO ESTRUTURAL LARGURA ÚTIL 49CM OU 44CM, INCLUSO ACESSÓRIOS DE FIXAÇÃO E VEDAÇÃO, EXCLUINDO MADEIRAMENTO</v>
          </cell>
          <cell r="C885" t="str">
            <v>M2</v>
          </cell>
          <cell r="D885">
            <v>74.489999999999995</v>
          </cell>
        </row>
        <row r="886">
          <cell r="A886" t="str">
            <v>74088/1</v>
          </cell>
          <cell r="B886" t="str">
            <v>TELHAMENTO COM TELHA DE FIBROCIMENTO ONDULADA, ESPESSURA 6MM, INCLUSO JUNTAS DE VEDACAO E ACESSORIOS DE FIXACAO, EXCLUINDO MADEIRAMENTO</v>
          </cell>
          <cell r="C886" t="str">
            <v>M2</v>
          </cell>
          <cell r="D886">
            <v>24.33</v>
          </cell>
        </row>
        <row r="887">
          <cell r="A887">
            <v>84035</v>
          </cell>
          <cell r="B887" t="str">
            <v>COBERTURA COM TELHA DE FIBROCIMENTO ONDULADA, ESPESSURA 8 MM, INCLUINDO ACESSORIOS, EXCLUINDO MADEIRAMENTO</v>
          </cell>
          <cell r="C887" t="str">
            <v>M2</v>
          </cell>
          <cell r="D887">
            <v>43.1</v>
          </cell>
        </row>
        <row r="888">
          <cell r="A888">
            <v>84036</v>
          </cell>
          <cell r="B888" t="str">
            <v>COBERTURA COM TELHA DE FIBROCIMENTO ONDULADA, ESPESSURA 4 MM, INCLUSOS ACESSORIOS DE FIXACAO, EXCLUINDO MADEIRAMENTO</v>
          </cell>
          <cell r="C888" t="str">
            <v>M2</v>
          </cell>
          <cell r="D888">
            <v>21.57</v>
          </cell>
        </row>
        <row r="889">
          <cell r="A889">
            <v>84037</v>
          </cell>
          <cell r="B889" t="str">
            <v>COBERTURA COM TELHA DE FIBROCIMENTO ONDULADA, ESPESSURA 6 MM, COM CUMEEIRA UNIVERSAL, INCLUSAS JUNTAS DE DILATACAO E ACESSORIOS DE FIXACAO, EXCLUINDO MADEIRAMENTO</v>
          </cell>
          <cell r="C889" t="str">
            <v>M2</v>
          </cell>
          <cell r="D889">
            <v>36.29</v>
          </cell>
        </row>
        <row r="890">
          <cell r="A890" t="str">
            <v>73866/1</v>
          </cell>
          <cell r="B890" t="str">
            <v>ESTRUTURA PARA COBERTURA TIPO FINK, EM ALUMINIO ANODIZADO, VAO DE 20M, ESPACAMENTO DAS TESOURAS DE 5M ATE 6,5M</v>
          </cell>
          <cell r="C890" t="str">
            <v>M2</v>
          </cell>
          <cell r="D890">
            <v>365.84</v>
          </cell>
        </row>
        <row r="891">
          <cell r="A891" t="str">
            <v>73866/2</v>
          </cell>
          <cell r="B891" t="str">
            <v>ESTRUTURA PARA COBERTURA TIPO FINK, EM ALUMINIO ANODIZADO, VAO DE 30M, ESPACAMENTO DAS TESOURAS DE 5M ATE 6,5M</v>
          </cell>
          <cell r="C891" t="str">
            <v>M2</v>
          </cell>
          <cell r="D891">
            <v>384.06</v>
          </cell>
        </row>
        <row r="892">
          <cell r="A892" t="str">
            <v>73866/3</v>
          </cell>
          <cell r="B892" t="str">
            <v>ESTRUTURA PARA COBERTURA TIPO FINK, EM ALUMINIO ANODIZADO, VAO DE 40M, ESPACAMENTO DAS TESOURAS DE 5M ATE 6,5M</v>
          </cell>
          <cell r="C892" t="str">
            <v>M2</v>
          </cell>
          <cell r="D892">
            <v>401.36</v>
          </cell>
        </row>
        <row r="893">
          <cell r="A893" t="str">
            <v>73866/4</v>
          </cell>
          <cell r="B893" t="str">
            <v>ESTRUTURA PARA COBERTURA EM ARCO, EM ALUMINIO ANODIZADO, VAO DE 20M, ESPACAMENTO DE 5M ATE 6,5M</v>
          </cell>
          <cell r="C893" t="str">
            <v>M2</v>
          </cell>
          <cell r="D893">
            <v>334.65</v>
          </cell>
        </row>
        <row r="894">
          <cell r="A894" t="str">
            <v>73866/5</v>
          </cell>
          <cell r="B894" t="str">
            <v>ESTRUTURA PARA COBERTURA EM ARCO, EM ALUMINIO ANODIZADO, VAO DE 30M, ESPACAMENTO DE 5M ATE 6,5M</v>
          </cell>
          <cell r="C894" t="str">
            <v>M2</v>
          </cell>
          <cell r="D894">
            <v>355.88</v>
          </cell>
        </row>
        <row r="895">
          <cell r="A895" t="str">
            <v>73866/6</v>
          </cell>
          <cell r="B895" t="str">
            <v>ESTRUTURA PARA COBERTURA EM ARCO, EM ALUMINIO ANODIZADO, VAO DE 40M, ESPACAMENTO DE 5M ATE 6,5M</v>
          </cell>
          <cell r="C895" t="str">
            <v>M2</v>
          </cell>
          <cell r="D895">
            <v>373.19</v>
          </cell>
        </row>
        <row r="896">
          <cell r="A896" t="str">
            <v>73866/7</v>
          </cell>
          <cell r="B896" t="str">
            <v>ESTRUTURA PARA COBERTURA TIPO SHED, EM ALUMINIO ANODIZADO, VAO DE 20M, ESPACAMENTO DAS TESOURAS DE 5M ATE 6,5M</v>
          </cell>
          <cell r="C896" t="str">
            <v>M2</v>
          </cell>
          <cell r="D896">
            <v>402.06</v>
          </cell>
        </row>
        <row r="897">
          <cell r="A897" t="str">
            <v>73866/8</v>
          </cell>
          <cell r="B897" t="str">
            <v>ESTRUTURA PARA COBERTURA TIPO SHED, EM ALUMINIO ANODIZADO, VAO DE 30M, ESPACAMENTO DAS TESOURAS DE 5M ATE 6,5M</v>
          </cell>
          <cell r="C897" t="str">
            <v>M2</v>
          </cell>
          <cell r="D897">
            <v>482.96</v>
          </cell>
        </row>
        <row r="898">
          <cell r="A898" t="str">
            <v>73866/9</v>
          </cell>
          <cell r="B898" t="str">
            <v>ESTRUTURA PARA COBERTURA TIPO SHED, EM ALUMINIO ANODIZADO, VAO DE 40M, ESPACAMENTO DAS TESOURAS DE 5M ATE 6,5M</v>
          </cell>
          <cell r="C898" t="str">
            <v>M2</v>
          </cell>
          <cell r="D898">
            <v>500.85</v>
          </cell>
        </row>
        <row r="899">
          <cell r="A899" t="str">
            <v>73867/1</v>
          </cell>
          <cell r="B899" t="str">
            <v>ESTRUTURA TIPO ESPACIAL EM ALUMINIO ANODIZADO, VAO DE 20M</v>
          </cell>
          <cell r="C899" t="str">
            <v>M2</v>
          </cell>
          <cell r="D899">
            <v>167.79</v>
          </cell>
        </row>
        <row r="900">
          <cell r="A900" t="str">
            <v>73867/2</v>
          </cell>
          <cell r="B900" t="str">
            <v>ESTRUTURA TIPO ESPACIAL EM ALUMINIO ANODIZADO, VAO DE 30M</v>
          </cell>
          <cell r="C900" t="str">
            <v>M2</v>
          </cell>
          <cell r="D900">
            <v>186.63</v>
          </cell>
        </row>
        <row r="901">
          <cell r="A901" t="str">
            <v>73867/3</v>
          </cell>
          <cell r="B901" t="str">
            <v>ESTRUTURA TIPO ESPACIAL EM ALUMINIO ANODIZADO, VAO DE 40M</v>
          </cell>
          <cell r="C901" t="str">
            <v>M2</v>
          </cell>
          <cell r="D901">
            <v>228.49</v>
          </cell>
        </row>
        <row r="902">
          <cell r="A902" t="str">
            <v>73867/4</v>
          </cell>
          <cell r="B902" t="str">
            <v>ESTRUTURA TIPO ESPACIAL EM ALUMINIO ANODIZADO, VAO DE 50M</v>
          </cell>
          <cell r="C902" t="str">
            <v>M2</v>
          </cell>
          <cell r="D902">
            <v>236.86</v>
          </cell>
        </row>
        <row r="903">
          <cell r="A903">
            <v>75220</v>
          </cell>
          <cell r="B903" t="str">
            <v>CUMEEIRA EM PERFIL ONDULADO DE ALUMÍNIO</v>
          </cell>
          <cell r="C903" t="str">
            <v>M</v>
          </cell>
          <cell r="D903">
            <v>28.87</v>
          </cell>
        </row>
        <row r="904">
          <cell r="A904" t="str">
            <v>75381/1</v>
          </cell>
          <cell r="B904" t="str">
            <v>COBERTURA COM TELHA  DE CHAPA DE AÇO ZINCADO, ONDULADA, ESPESSURA DE 0,5MM</v>
          </cell>
          <cell r="C904" t="str">
            <v>M2</v>
          </cell>
          <cell r="D904">
            <v>32.03</v>
          </cell>
        </row>
        <row r="905">
          <cell r="A905">
            <v>84038</v>
          </cell>
          <cell r="B905" t="str">
            <v>COBERTURA COM TELHA ONDULADA DE ALUMINIO, ESPESSURA DE 5 MM</v>
          </cell>
          <cell r="C905" t="str">
            <v>M2</v>
          </cell>
          <cell r="D905">
            <v>34.15</v>
          </cell>
        </row>
        <row r="906">
          <cell r="A906">
            <v>84039</v>
          </cell>
          <cell r="B906" t="str">
            <v>COBERTURA COM TELHA ONDULADA DE ALUMINIO, ESPESSURA DE 7 MM</v>
          </cell>
          <cell r="C906" t="str">
            <v>M2</v>
          </cell>
          <cell r="D906">
            <v>46.87</v>
          </cell>
        </row>
        <row r="907">
          <cell r="A907">
            <v>84040</v>
          </cell>
          <cell r="B907" t="str">
            <v>COBERTURA COM TELHA DE ACO ZINCADO, TRAPEZOIDAL, ESPESSURA DE 0,5 MM, INCLUINDO ACESSORIOS</v>
          </cell>
          <cell r="C907" t="str">
            <v>M2</v>
          </cell>
          <cell r="D907">
            <v>34.53</v>
          </cell>
        </row>
        <row r="908">
          <cell r="A908">
            <v>72076</v>
          </cell>
          <cell r="B908" t="str">
            <v>ESTRUTURA DE MADEIRA, SEGUNDA QUALIDADE, SERRADA, NAO APARELHADA, PARA TELHAS CERAMICAS</v>
          </cell>
          <cell r="C908" t="str">
            <v>M2</v>
          </cell>
          <cell r="D908">
            <v>49.99</v>
          </cell>
        </row>
        <row r="909">
          <cell r="A909">
            <v>72077</v>
          </cell>
          <cell r="B909" t="str">
            <v>ESTRUTURA DE MADEIRA DE LEI, PRIMEIRA QUALIDADE, SERRADA, NAO APARELHADA, PARA TELHAS CERAMICAS, VAOS DE ATE 7M</v>
          </cell>
          <cell r="C909" t="str">
            <v>M2</v>
          </cell>
          <cell r="D909">
            <v>80.31</v>
          </cell>
        </row>
        <row r="910">
          <cell r="A910">
            <v>72078</v>
          </cell>
          <cell r="B910" t="str">
            <v>ESTRUTURA DE MADEIRA DE LEI PRIMEIRA QUALIDADE, SERRADA, NAO APARELHADA, PARA TELHAS CERAMICAS, VAOS DE 7M ATE 10 M</v>
          </cell>
          <cell r="C910" t="str">
            <v>M2</v>
          </cell>
          <cell r="D910">
            <v>93.1</v>
          </cell>
        </row>
        <row r="911">
          <cell r="A911">
            <v>72079</v>
          </cell>
          <cell r="B911" t="str">
            <v>ESTRUTURA DE MADEIRA DE LEI PRIMEIRA QUALIDADE, SERRADA, NAO APARELHADA, PARA TELHAS CERAMICAS, VAOS DE 10M ATE 13M</v>
          </cell>
          <cell r="C911" t="str">
            <v>M2</v>
          </cell>
          <cell r="D911">
            <v>99.15</v>
          </cell>
        </row>
        <row r="912">
          <cell r="A912">
            <v>72080</v>
          </cell>
          <cell r="B912" t="str">
            <v>ESTRUTURA DE MADEIRA DE LEI PRIMEIRA QUALIDADE, SERRADA, NAO APARELHADA, PARA TELHAS CERAMICAS, VAOS DE 13M ATE 18M</v>
          </cell>
          <cell r="C912" t="str">
            <v>M2</v>
          </cell>
          <cell r="D912">
            <v>114.19</v>
          </cell>
        </row>
        <row r="913">
          <cell r="A913">
            <v>72081</v>
          </cell>
          <cell r="B913" t="str">
            <v>ESTRUTURA DE MADEIRA DE LEI PRIMEIRA QUALIDADE, SERRADA, NAO APARELHADA, PARA TELHAS ONDULADAS, VAOS ATE 7M</v>
          </cell>
          <cell r="C913" t="str">
            <v>M2</v>
          </cell>
          <cell r="D913">
            <v>53.51</v>
          </cell>
        </row>
        <row r="914">
          <cell r="A914">
            <v>72082</v>
          </cell>
          <cell r="B914" t="str">
            <v>ESTRUTURA DE MADEIRA DE LEI PRIMEIRA QUALIDADE, SERRADA, NAO APARELHADA, PARA TELHAS ONDULADAS, VAOS DE 7M ATE 10M</v>
          </cell>
          <cell r="C914" t="str">
            <v>M2</v>
          </cell>
          <cell r="D914">
            <v>58.96</v>
          </cell>
        </row>
        <row r="915">
          <cell r="A915">
            <v>72083</v>
          </cell>
          <cell r="B915" t="str">
            <v>ESTRUTURA DE MADEIRA DE LEI PRIMEIRA QUALIDADE, SERRADA, NAO APARELHADA, PARA TELHAS ONDULADAS, VAOS DE 10M ATE 13M</v>
          </cell>
          <cell r="C915" t="str">
            <v>M2</v>
          </cell>
          <cell r="D915">
            <v>69.8</v>
          </cell>
        </row>
        <row r="916">
          <cell r="A916">
            <v>72084</v>
          </cell>
          <cell r="B916" t="str">
            <v>ESTRUTURA DE MADEIRA DE LEI PRIMEIRA QUALIDADE, SERRADA, NAO APARELHADA, PARA TELHAS ONDULADAS, VAOS DE 13M ATE 18M</v>
          </cell>
          <cell r="C916" t="str">
            <v>M2</v>
          </cell>
          <cell r="D916">
            <v>82.99</v>
          </cell>
        </row>
        <row r="917">
          <cell r="A917">
            <v>84041</v>
          </cell>
          <cell r="B917" t="str">
            <v>COBERTURA COM TELHA PLASTICA TRANSPARENTE INCLUSIVE FIXACAO</v>
          </cell>
          <cell r="C917" t="str">
            <v>M2</v>
          </cell>
          <cell r="D917">
            <v>38.51</v>
          </cell>
        </row>
        <row r="918">
          <cell r="A918">
            <v>6058</v>
          </cell>
          <cell r="B918" t="str">
            <v>CUMEEIRA COM TELHA CERAMICA EMBOCADA COM ARGAMASSA TRACO 1:2:8 (CIMENTO, CAL E AREIA)</v>
          </cell>
          <cell r="C918" t="str">
            <v>M</v>
          </cell>
          <cell r="D918">
            <v>20.11</v>
          </cell>
        </row>
        <row r="919">
          <cell r="A919" t="str">
            <v>73930/1</v>
          </cell>
          <cell r="B919" t="str">
            <v>CORDAO DE ARREMATE COM TELHA CERAMICA TIPO CANAL EMBOCADA COM ARGAMASSA TRACO 1:3 (CIMENTO E AREIA)</v>
          </cell>
          <cell r="C919" t="str">
            <v>M</v>
          </cell>
          <cell r="D919">
            <v>14.1</v>
          </cell>
        </row>
        <row r="920">
          <cell r="A920" t="str">
            <v>73744/1</v>
          </cell>
          <cell r="B920" t="str">
            <v>CUMEEIRA PARA TELHA DE FIBROCIMENTO ESTRUTURAL, INCLUSO ACESSORIOS PARA FIXACAO E VEDACAO</v>
          </cell>
          <cell r="C920" t="str">
            <v>M</v>
          </cell>
          <cell r="D920">
            <v>87.07</v>
          </cell>
        </row>
        <row r="921">
          <cell r="A921" t="str">
            <v>74045/1</v>
          </cell>
          <cell r="B921" t="str">
            <v>CUMEEIRA UNIVERSAL PARA TELHA DE FIBROCIMENTO ONDULADA ESPESSURA 6 MM, INCLUSO JUNTAS DE VEDACAO E ACESSORIOS DE FIXACAO</v>
          </cell>
          <cell r="C921" t="str">
            <v>M</v>
          </cell>
          <cell r="D921">
            <v>43.12</v>
          </cell>
        </row>
        <row r="922">
          <cell r="A922" t="str">
            <v>74045/2</v>
          </cell>
          <cell r="B922" t="str">
            <v>CUMEEIRA TIPO SHED PARA TELHA DE FIBROCIMENTO ONDULADA, INCLUSO JUNTAS DE VEDACAO E ACESSORIOS DE FIXACAO</v>
          </cell>
          <cell r="C922" t="str">
            <v>M</v>
          </cell>
          <cell r="D922">
            <v>36.85</v>
          </cell>
        </row>
        <row r="923">
          <cell r="A923">
            <v>84042</v>
          </cell>
          <cell r="B923" t="str">
            <v>CALHA DE CONCRETO, 40X15 CM ESPESSURA DE 8 CM, PREPARADO EM BETONEIRA E CIMENTADO LISO EXECUTADO COM ARGAMASSA TRACO 1:4 (CIMENTO E AREIA MEDIA NAO PENEIRADA), PREPARO MANUAL</v>
          </cell>
          <cell r="C923" t="str">
            <v>M</v>
          </cell>
          <cell r="D923">
            <v>95.66</v>
          </cell>
        </row>
        <row r="924">
          <cell r="A924">
            <v>84043</v>
          </cell>
          <cell r="B924" t="str">
            <v>CALHA DE CONCRETO, 30X15 CM, ESPESSURA 8 CM PREPARADA EM BETONEIRA COM CIMENTADO LISO EXECUTADO COM ARGAMASSA TRACO 1:4 (CIMENTO E AREIA MEDIA NAO PENEIRADA), PREPARO MANUAL</v>
          </cell>
          <cell r="C924" t="str">
            <v>M</v>
          </cell>
          <cell r="D924">
            <v>86.46</v>
          </cell>
        </row>
        <row r="925">
          <cell r="A925">
            <v>84044</v>
          </cell>
          <cell r="B925" t="str">
            <v>CALHA DE BEIRAL, SEMICIRCULAR DE PVC, DIAMETRO 125 MM, INCLUINDO CABECEIRAS, EMENDAS, BOCAIS, SUPORTES E VEDACOES, EXCLUINDO CONDUTORES - FORNECIMENTO E COLOCACAO</v>
          </cell>
          <cell r="C925" t="str">
            <v>M</v>
          </cell>
          <cell r="D925">
            <v>111.57</v>
          </cell>
        </row>
        <row r="926">
          <cell r="A926">
            <v>84045</v>
          </cell>
          <cell r="B926" t="str">
            <v>CONDUTOR PARA CALHA DE BEIRAL, DE PVC, DIAMETRO 88 MM, INCLUINDO CONEXOES E BRACADEIRAS - FORNECIMENTO E COLOCACAO</v>
          </cell>
          <cell r="C926" t="str">
            <v>M</v>
          </cell>
          <cell r="D926">
            <v>72.7</v>
          </cell>
        </row>
        <row r="927">
          <cell r="A927">
            <v>72104</v>
          </cell>
          <cell r="B927" t="str">
            <v>CALHA EM CHAPA DE ACO GALVANIZADO NUMERO 24, DESENVOLVIMENTO DE 33CM</v>
          </cell>
          <cell r="C927" t="str">
            <v>M</v>
          </cell>
          <cell r="D927">
            <v>25.02</v>
          </cell>
        </row>
        <row r="928">
          <cell r="A928">
            <v>72105</v>
          </cell>
          <cell r="B928" t="str">
            <v>CALHA EM CHAPA DE ACO GALVANIZADO NUMERO 24, DESENVOLVIMENTO DE 50CM</v>
          </cell>
          <cell r="C928" t="str">
            <v>M</v>
          </cell>
          <cell r="D928">
            <v>37.72</v>
          </cell>
        </row>
        <row r="929">
          <cell r="A929">
            <v>84046</v>
          </cell>
          <cell r="B929" t="str">
            <v>CALHA DE CHAPA GALVANIZADA NUMERO 26, COM DESENVOLVIMENTO DE 10 CM</v>
          </cell>
          <cell r="C929" t="str">
            <v>M</v>
          </cell>
          <cell r="D929">
            <v>9.0399999999999991</v>
          </cell>
        </row>
        <row r="930">
          <cell r="A930">
            <v>72106</v>
          </cell>
          <cell r="B930" t="str">
            <v>RUFO EM CHAPA DE ACO GALVANIZADO NUMERO 24, DESENVOLVIMENTO DE 16CM</v>
          </cell>
          <cell r="C930" t="str">
            <v>M</v>
          </cell>
          <cell r="D930">
            <v>15.84</v>
          </cell>
        </row>
        <row r="931">
          <cell r="A931">
            <v>72107</v>
          </cell>
          <cell r="B931" t="str">
            <v>RUFO EM CHAPA DE ACO GALVANIZADO NUMERO 24, DESENVOLVIMENTO DE 25CM</v>
          </cell>
          <cell r="C931" t="str">
            <v>M</v>
          </cell>
          <cell r="D931">
            <v>19.3</v>
          </cell>
        </row>
        <row r="932">
          <cell r="A932" t="str">
            <v>73868/1</v>
          </cell>
          <cell r="B932" t="str">
            <v>RUFO EM FIBROCIMENTO, INCLUSO ACESSORIOS DE FIXACAO E VEDACAO</v>
          </cell>
          <cell r="C932" t="str">
            <v>M</v>
          </cell>
          <cell r="D932">
            <v>24.52</v>
          </cell>
        </row>
        <row r="933">
          <cell r="A933">
            <v>68058</v>
          </cell>
          <cell r="B933" t="str">
            <v>RUFO EM CONCRETO ARMADO, LARGURA 40CM E ESPESSURA 7CM</v>
          </cell>
          <cell r="C933" t="str">
            <v>M</v>
          </cell>
          <cell r="D933">
            <v>49.51</v>
          </cell>
        </row>
        <row r="934">
          <cell r="A934">
            <v>41619</v>
          </cell>
          <cell r="B934" t="str">
            <v>COBERTURA COM TELHA DE FIBRA DE VIDRO ONDULADA COLORIDA, ESPESSURA 6MM, INCLUSOS ACESSORIOS DE FIXACAO</v>
          </cell>
          <cell r="C934" t="str">
            <v>M2</v>
          </cell>
          <cell r="D934">
            <v>39.79</v>
          </cell>
        </row>
        <row r="935">
          <cell r="A935">
            <v>72110</v>
          </cell>
          <cell r="B935" t="str">
            <v>ESTRUTURA METALICA EM TESOURAS OU TRELICAS, VAO LIVRE DE 12M, FORNECIMENTO E MONTAGEM, NAO SENDO CONSIDERADOS OS FECHAMENTOS METALICOS, AS COLUNAS, OS SERVICOS GERAIS EM ALVENARIA E CONCRETO, AS TELHAS DE COBERTURA E A PINTURA DE ACABAMENTO</v>
          </cell>
          <cell r="C935" t="str">
            <v>M2</v>
          </cell>
          <cell r="D935">
            <v>53.94</v>
          </cell>
        </row>
        <row r="936">
          <cell r="A936">
            <v>72111</v>
          </cell>
          <cell r="B936" t="str">
            <v>ESTRUTURA METALICA EM TESOURAS OU TRELICAS, VAO LIVRE DE 15M, FORNECIMENTO E MONTAGEM, NAO SENDO CONSIDERADOS OS FECHAMENTOS METALICOS, AS COLUNAS, OS SERVICOS GERAIS EM ALVENARIA E CONCRETO, AS TELHAS DE COBERTURA E A PINTURA DE ACABAMENTO</v>
          </cell>
          <cell r="C936" t="str">
            <v>M2</v>
          </cell>
          <cell r="D936">
            <v>58.83</v>
          </cell>
        </row>
        <row r="937">
          <cell r="A937">
            <v>72112</v>
          </cell>
          <cell r="B937" t="str">
            <v>ESTRUTURA METALICA EM TESOURAS OU TRELICAS, VAO LIVRE DE 20M, FORNECIMENTO E MONTAGEM, NAO SENDO CONSIDERADOS OS FECHAMENTOS METALICOS, AS COLUNAS, OS SERVICOS GERAIS EM ALVENARIA E CONCRETO, AS TELHAS DE COBERTURA E A PINTURA DE ACABAMENTO</v>
          </cell>
          <cell r="C937" t="str">
            <v>M2</v>
          </cell>
          <cell r="D937">
            <v>63.72</v>
          </cell>
        </row>
        <row r="938">
          <cell r="A938">
            <v>72113</v>
          </cell>
          <cell r="B938" t="str">
            <v>ESTRUTURA METALICA EM TESOURAS OU TRELICAS, VAO LIVRE DE 25M, FORNECIMENTO E MONTAGEM, NAO SENDO CONSIDERADOS OS FECHAMENTOS METALICOS, AS COLUNAS, OS SERVICOS GERAIS EM ALVENARIA E CONCRETO, AS TELHAS DE COBERTURA E A PINTURA DE ACABAMENTO</v>
          </cell>
          <cell r="C938" t="str">
            <v>M2</v>
          </cell>
          <cell r="D938">
            <v>71.69</v>
          </cell>
        </row>
        <row r="939">
          <cell r="A939">
            <v>72114</v>
          </cell>
          <cell r="B939" t="str">
            <v>ESTRUTURA METALICA EM TESOURAS OU TRELICAS, VAO LIVRE DE 30M, FORNECIMENTO E MONTAGEM, NAO SENDO CONSIDERADOS OS FECHAMENTOS METALICOS, AS COLUNAS, OS SERVICOS GERAIS EM ALVENARIA E CONCRETO, AS TELHAS DE COBERTURA E A PINTURA DE ACABAMENTO</v>
          </cell>
          <cell r="C939" t="str">
            <v>M2</v>
          </cell>
          <cell r="D939">
            <v>79.650000000000006</v>
          </cell>
        </row>
        <row r="940">
          <cell r="A940" t="str">
            <v>73970/1</v>
          </cell>
          <cell r="B940" t="str">
            <v>ESTRUTURA METALICA EM ACO ESTRUTURAL PERFIL I 12 X 5 1/4</v>
          </cell>
          <cell r="C940" t="str">
            <v>KG</v>
          </cell>
          <cell r="D940">
            <v>6.71</v>
          </cell>
        </row>
        <row r="941">
          <cell r="A941" t="str">
            <v>73970/2</v>
          </cell>
          <cell r="B941" t="str">
            <v>ESTRUTURA METALICA EM ACO ESTRUTURAL PERFIL I 6 X 3 3/8</v>
          </cell>
          <cell r="C941" t="str">
            <v>KG</v>
          </cell>
          <cell r="D941">
            <v>5.13</v>
          </cell>
        </row>
        <row r="942">
          <cell r="A942">
            <v>84047</v>
          </cell>
          <cell r="B942" t="str">
            <v>COBERTURA EM TELHA DE VIDRO TIPO FRANCESA</v>
          </cell>
          <cell r="C942" t="str">
            <v>M2</v>
          </cell>
          <cell r="D942">
            <v>592</v>
          </cell>
        </row>
        <row r="943">
          <cell r="A943" t="str">
            <v>73891/1</v>
          </cell>
          <cell r="B943" t="str">
            <v>ESGOTAMENTO COM MOTO-BOMBA AUTOESCOVANTE</v>
          </cell>
          <cell r="C943" t="str">
            <v>H</v>
          </cell>
          <cell r="D943">
            <v>3.78</v>
          </cell>
        </row>
        <row r="944">
          <cell r="A944" t="str">
            <v>73882/1</v>
          </cell>
          <cell r="B944" t="str">
            <v>CALHA EM CONCRETO SIMPLES, EM MEIA CANA, DIAMETRO 200 MM</v>
          </cell>
          <cell r="C944" t="str">
            <v>M</v>
          </cell>
          <cell r="D944">
            <v>24.04</v>
          </cell>
        </row>
        <row r="945">
          <cell r="A945" t="str">
            <v>73882/2</v>
          </cell>
          <cell r="B945" t="str">
            <v>CALHA EM CONCRETO SIMPLES, MEIA CANA DE CONCRETO, DIAMETRO 300 MM</v>
          </cell>
          <cell r="C945" t="str">
            <v>M</v>
          </cell>
          <cell r="D945">
            <v>30.02</v>
          </cell>
        </row>
        <row r="946">
          <cell r="A946" t="str">
            <v>73882/3</v>
          </cell>
          <cell r="B946" t="str">
            <v>CALHA EM CONCRETO SIMPLES, EM MEIA CANA DE CONCRETO, DIAMETRO 400 MM</v>
          </cell>
          <cell r="C946" t="str">
            <v>M</v>
          </cell>
          <cell r="D946">
            <v>39</v>
          </cell>
        </row>
        <row r="947">
          <cell r="A947" t="str">
            <v>73882/4</v>
          </cell>
          <cell r="B947" t="str">
            <v>CALHA EM CONCRETO SIMPLES, EM MEIA CANA DE CONCRETO, DIAMETRO 500 MM</v>
          </cell>
          <cell r="C947" t="str">
            <v>M</v>
          </cell>
          <cell r="D947">
            <v>59.91</v>
          </cell>
        </row>
        <row r="948">
          <cell r="A948" t="str">
            <v>73882/5</v>
          </cell>
          <cell r="B948" t="str">
            <v>CALHA EM CONCRETO SIMPLES, EM MEIA CANA DE CONCRETO, DIAMETRO 600 MM</v>
          </cell>
          <cell r="C948" t="str">
            <v>M</v>
          </cell>
          <cell r="D948">
            <v>75.599999999999994</v>
          </cell>
        </row>
        <row r="949">
          <cell r="A949">
            <v>83660</v>
          </cell>
          <cell r="B949" t="str">
            <v>ESGOTAMENTO MANUAL DE AGUA DE CHUVA OU LENCOL FREATICO ESCAVADO</v>
          </cell>
          <cell r="C949" t="str">
            <v>M3</v>
          </cell>
          <cell r="D949">
            <v>1.54</v>
          </cell>
        </row>
        <row r="950">
          <cell r="A950" t="str">
            <v>73816/1</v>
          </cell>
          <cell r="B950" t="str">
            <v>EXECUCAO DE DRENO COM TUBOS DE PVC CORRUGADO FLEXIVEL PERFURADO - DN 100</v>
          </cell>
          <cell r="C950" t="str">
            <v>M</v>
          </cell>
          <cell r="D950">
            <v>48.27</v>
          </cell>
        </row>
        <row r="951">
          <cell r="A951" t="str">
            <v>73816/2</v>
          </cell>
          <cell r="B951" t="str">
            <v>EXECUCAO DE DRENO VERTICAL COM PEDRISCO, DIAMETRO 200MM</v>
          </cell>
          <cell r="C951" t="str">
            <v>M</v>
          </cell>
          <cell r="D951">
            <v>13.63</v>
          </cell>
        </row>
        <row r="952">
          <cell r="A952" t="str">
            <v>73881/1</v>
          </cell>
          <cell r="B952" t="str">
            <v>EXECUCAO DE DRENO COM MANTA GEOTEXTIL 200 G/M2</v>
          </cell>
          <cell r="C952" t="str">
            <v>M2</v>
          </cell>
          <cell r="D952">
            <v>6.45</v>
          </cell>
        </row>
        <row r="953">
          <cell r="A953" t="str">
            <v>73881/2</v>
          </cell>
          <cell r="B953" t="str">
            <v>EXECUCAO DE DRENO COM MANTA GEOTEXTIL 300 G/M2</v>
          </cell>
          <cell r="C953" t="str">
            <v>M2</v>
          </cell>
          <cell r="D953">
            <v>9.75</v>
          </cell>
        </row>
        <row r="954">
          <cell r="A954" t="str">
            <v>73881/3</v>
          </cell>
          <cell r="B954" t="str">
            <v>EXECUCAO DE DRENO COM MANTA GEOTEXTIL 400 G/M2</v>
          </cell>
          <cell r="C954" t="str">
            <v>M2</v>
          </cell>
          <cell r="D954">
            <v>11.89</v>
          </cell>
        </row>
        <row r="955">
          <cell r="A955" t="str">
            <v>73883/1</v>
          </cell>
          <cell r="B955" t="str">
            <v>EXECUCAO DE DRENO FRANCES COM AREIA MEDIA</v>
          </cell>
          <cell r="C955" t="str">
            <v>M3</v>
          </cell>
          <cell r="D955">
            <v>78.510000000000005</v>
          </cell>
        </row>
        <row r="956">
          <cell r="A956" t="str">
            <v>73883/2</v>
          </cell>
          <cell r="B956" t="str">
            <v>EXECUCAO DE DRENO FRANCES COM BRITA NUM 2</v>
          </cell>
          <cell r="C956" t="str">
            <v>M3</v>
          </cell>
          <cell r="D956">
            <v>79.27</v>
          </cell>
        </row>
        <row r="957">
          <cell r="A957" t="str">
            <v>73883/3</v>
          </cell>
          <cell r="B957" t="str">
            <v>EXECUCAO DE DRENO FRANCES COM CASCALHO</v>
          </cell>
          <cell r="C957" t="str">
            <v>M3</v>
          </cell>
          <cell r="D957">
            <v>79.569999999999993</v>
          </cell>
        </row>
        <row r="958">
          <cell r="A958" t="str">
            <v>73902/1</v>
          </cell>
          <cell r="B958" t="str">
            <v>CAMADA DRENANTE COM BRITA NUM 3</v>
          </cell>
          <cell r="C958" t="str">
            <v>M3</v>
          </cell>
          <cell r="D958">
            <v>75.39</v>
          </cell>
        </row>
        <row r="959">
          <cell r="A959" t="str">
            <v>73968/1</v>
          </cell>
          <cell r="B959" t="str">
            <v>MANTA IMPERMEABILIZANTE A BASE DE ASFALTO - FORNECIMENTO E INSTALACAO</v>
          </cell>
          <cell r="C959" t="str">
            <v>M2</v>
          </cell>
          <cell r="D959">
            <v>35.04</v>
          </cell>
        </row>
        <row r="960">
          <cell r="A960" t="str">
            <v>73969/1</v>
          </cell>
          <cell r="B960" t="str">
            <v>EXECUCAO DE DRENOS DE CHORUME EM TUBOS DRENANTES DE CONCRETO, DIAM=200MM, ENVOLTOS EM BRITA E GEOTEXTIL</v>
          </cell>
          <cell r="C960" t="str">
            <v>M</v>
          </cell>
          <cell r="D960">
            <v>59.2</v>
          </cell>
        </row>
        <row r="961">
          <cell r="A961" t="str">
            <v>74017/1</v>
          </cell>
          <cell r="B961" t="str">
            <v>EXECUCAO DE DRENOS DE CHORUME EM TUBOS DRENANTES, PVC, DIAM=100 MM, ENVOLTOS EM BRITA E GEOTEXTIL</v>
          </cell>
          <cell r="C961" t="str">
            <v>M</v>
          </cell>
          <cell r="D961">
            <v>64.7</v>
          </cell>
        </row>
        <row r="962">
          <cell r="A962" t="str">
            <v>74017/2</v>
          </cell>
          <cell r="B962" t="str">
            <v>EXECUCAO DE DRENOS DE CHORUME EM TUBOS DRENANTES, PVC, DIAM=150 MM, ENVOLTOS EM BRITA E GEOTEXTIL</v>
          </cell>
          <cell r="C962" t="str">
            <v>M</v>
          </cell>
          <cell r="D962">
            <v>104.25</v>
          </cell>
        </row>
        <row r="963">
          <cell r="A963" t="str">
            <v>74167/1</v>
          </cell>
          <cell r="B963" t="str">
            <v>FORNECIMENTO/ASSENTAMENTO DE MANTA GEOTEXTIL RT-31 (ANT OP-60) BIDIM</v>
          </cell>
          <cell r="C963" t="str">
            <v>M2</v>
          </cell>
          <cell r="D963">
            <v>19.850000000000001</v>
          </cell>
        </row>
        <row r="964">
          <cell r="A964" t="str">
            <v>75029/1</v>
          </cell>
          <cell r="B964" t="str">
            <v>TUBO PVC CORRUGADO RIGIDO PERFURADO DN 150 PARA DRENAGEM - FORNECIMENTO E INSTALACAO</v>
          </cell>
          <cell r="C964" t="str">
            <v>M</v>
          </cell>
          <cell r="D964">
            <v>85.64</v>
          </cell>
        </row>
        <row r="965">
          <cell r="A965">
            <v>83651</v>
          </cell>
          <cell r="B965" t="str">
            <v>TUBO PVC CORRUGADO PERFURADO 100 MM C/ JUNTA ELASTICA PARA DRENAGEM.</v>
          </cell>
          <cell r="C965" t="str">
            <v>M</v>
          </cell>
          <cell r="D965">
            <v>51.82</v>
          </cell>
        </row>
        <row r="966">
          <cell r="A966">
            <v>83656</v>
          </cell>
          <cell r="B966" t="str">
            <v>COLCHAO DRENANTE C/ 30CM PEDRA BRITADA N.3/FILTRO TRANSICAO MANTA GEOTEXTIL 100% POLIPROPILENO OU POLIESTER INCL FORNEC/COLOCMAT</v>
          </cell>
          <cell r="C966" t="str">
            <v>M2</v>
          </cell>
          <cell r="D966">
            <v>34.14</v>
          </cell>
        </row>
        <row r="967">
          <cell r="A967">
            <v>83658</v>
          </cell>
          <cell r="B967" t="str">
            <v>EXECUCAO DRENO PROFUNDO, COM CORTE TRAPEZOIDAL EM SOLO, DE 70X80X150CM EXCL TUBO INCL MATERIAL EXECUCAO, COM SELO ENCHIMENTO MATERIAL DRENANTE E ESCAVACAO</v>
          </cell>
          <cell r="C967" t="str">
            <v>M</v>
          </cell>
          <cell r="D967">
            <v>109.2</v>
          </cell>
        </row>
        <row r="968">
          <cell r="A968">
            <v>83661</v>
          </cell>
          <cell r="B968" t="str">
            <v>EXECUCAO DE DRENO PROFUNDO, CORTE EM SOLO, COM TUBO POROSO D=0,20M</v>
          </cell>
          <cell r="C968" t="str">
            <v>M</v>
          </cell>
          <cell r="D968">
            <v>83.44</v>
          </cell>
        </row>
        <row r="969">
          <cell r="A969">
            <v>83662</v>
          </cell>
          <cell r="B969" t="str">
            <v>EXECUCAO DE DRENO CEGO</v>
          </cell>
          <cell r="C969" t="str">
            <v>M3</v>
          </cell>
          <cell r="D969">
            <v>63.61</v>
          </cell>
        </row>
        <row r="970">
          <cell r="A970">
            <v>83664</v>
          </cell>
          <cell r="B970" t="str">
            <v>EXECUCAO DE DRENO DE TUBO DE CONRETO SIMPLES POROSO D=0,20 M (0,5MX0,5M) PARA GALERIAS DE AGUAS PLUVIAIS</v>
          </cell>
          <cell r="C970" t="str">
            <v>M</v>
          </cell>
          <cell r="D970">
            <v>55.22</v>
          </cell>
        </row>
        <row r="971">
          <cell r="A971">
            <v>83665</v>
          </cell>
          <cell r="B971" t="str">
            <v>FORNECIMENTO E INSTALACAO DE MANTA BIDIM RT - 14</v>
          </cell>
          <cell r="C971" t="str">
            <v>M2</v>
          </cell>
          <cell r="D971">
            <v>6.82</v>
          </cell>
        </row>
        <row r="972">
          <cell r="A972">
            <v>83667</v>
          </cell>
          <cell r="B972" t="str">
            <v>CAMADA DRENANTE COM AREIA MEDIA</v>
          </cell>
          <cell r="C972" t="str">
            <v>M3</v>
          </cell>
          <cell r="D972">
            <v>83.49</v>
          </cell>
        </row>
        <row r="973">
          <cell r="A973">
            <v>83668</v>
          </cell>
          <cell r="B973" t="str">
            <v>CAMADA DRENANTE COM BRITA NUM 2</v>
          </cell>
          <cell r="C973" t="str">
            <v>M3</v>
          </cell>
          <cell r="D973">
            <v>80.739999999999995</v>
          </cell>
        </row>
        <row r="974">
          <cell r="A974">
            <v>83669</v>
          </cell>
          <cell r="B974" t="str">
            <v>FORNECIMENTO/INSTALACAO MANTA BIDIM RT-16</v>
          </cell>
          <cell r="C974" t="str">
            <v>M2</v>
          </cell>
          <cell r="D974">
            <v>9.4499999999999993</v>
          </cell>
        </row>
        <row r="975">
          <cell r="A975">
            <v>83670</v>
          </cell>
          <cell r="B975" t="str">
            <v>TUBO PVC DN 75 MM PARA DRENAGEM - FORNECIMENTO E INSTALACAO</v>
          </cell>
          <cell r="C975" t="str">
            <v>M</v>
          </cell>
          <cell r="D975">
            <v>30.13</v>
          </cell>
        </row>
        <row r="976">
          <cell r="A976">
            <v>83671</v>
          </cell>
          <cell r="B976" t="str">
            <v>TUBO PVC DN 100 MM PARA DRENAGEM - FORNECIMENTO E INSTALACAO</v>
          </cell>
          <cell r="C976" t="str">
            <v>M</v>
          </cell>
          <cell r="D976">
            <v>33.01</v>
          </cell>
        </row>
        <row r="977">
          <cell r="A977">
            <v>83672</v>
          </cell>
          <cell r="B977" t="str">
            <v>TUBO CERAMICO PERFURADO (MANILHA BARRO VIDRADO) DN 100 MM PARA DRENAGEM - FORNECIMENTO E INSTALACAO</v>
          </cell>
          <cell r="C977" t="str">
            <v>M</v>
          </cell>
          <cell r="D977">
            <v>49.98</v>
          </cell>
        </row>
        <row r="978">
          <cell r="A978">
            <v>83673</v>
          </cell>
          <cell r="B978" t="str">
            <v>TUBO CERAMICO PERFURADO (MANILHA BARRO VIDRADO) DN 150 MM PARA DRENAGEM - FORNECIMENTO E INSTALACAO</v>
          </cell>
          <cell r="C978" t="str">
            <v>M</v>
          </cell>
          <cell r="D978">
            <v>61</v>
          </cell>
        </row>
        <row r="979">
          <cell r="A979">
            <v>83674</v>
          </cell>
          <cell r="B979" t="str">
            <v>TUBO CERAMICO PERFURADO (MANILHA BARRO VIDRADO) DN 200 MM PARA DRENAGEM - FORNECIMENTO E INSTALACAO</v>
          </cell>
          <cell r="C979" t="str">
            <v>M</v>
          </cell>
          <cell r="D979">
            <v>82.64</v>
          </cell>
        </row>
        <row r="980">
          <cell r="A980">
            <v>83675</v>
          </cell>
          <cell r="B980" t="str">
            <v>TUBO CONCRETO SIMPLES DN 200 MM PARA DRENAGEM - FORNECIMENTO E INSTALACAO, INCLUSIVE ESCAVACAO MANUAL 1M3/M.</v>
          </cell>
          <cell r="C980" t="str">
            <v>M</v>
          </cell>
          <cell r="D980">
            <v>63.06</v>
          </cell>
        </row>
        <row r="981">
          <cell r="A981">
            <v>83676</v>
          </cell>
          <cell r="B981" t="str">
            <v>TUBO CONCRETO SIMPLES DN 300 MM PARA DRENAGEM - FORNECIMENTO E INSTALACAO INCLUSIVE ESCAVACAO MANUAL 1M3/M</v>
          </cell>
          <cell r="C981" t="str">
            <v>M</v>
          </cell>
          <cell r="D981">
            <v>82.15</v>
          </cell>
        </row>
        <row r="982">
          <cell r="A982">
            <v>83677</v>
          </cell>
          <cell r="B982" t="str">
            <v>TUBO CONCRETO SIMPLES DN 400 MM PARA DRENAGEM - FORNECIMENTO E INSTALACAO INCLUSIVE ESCAVACAO MANUAL 1,5M3/M</v>
          </cell>
          <cell r="C982" t="str">
            <v>M</v>
          </cell>
          <cell r="D982">
            <v>102.51</v>
          </cell>
        </row>
        <row r="983">
          <cell r="A983">
            <v>83678</v>
          </cell>
          <cell r="B983" t="str">
            <v>TUBO CONCRETO SIMPLES DN 500 MM PARA DRENAGEM - FORNECIMENTO E INSTALACAO INCLUSIVE ESCAVACAO MANUAL 2M3/M</v>
          </cell>
          <cell r="C983" t="str">
            <v>M</v>
          </cell>
          <cell r="D983">
            <v>138.93</v>
          </cell>
        </row>
        <row r="984">
          <cell r="A984">
            <v>83679</v>
          </cell>
          <cell r="B984" t="str">
            <v>TUBO PVC D=2 COM MATERIAL DRENANTE PARA DRENO/BARBACA - FORNECIMENTO E INSTALACAO</v>
          </cell>
          <cell r="C984" t="str">
            <v>M</v>
          </cell>
          <cell r="D984">
            <v>10.48</v>
          </cell>
        </row>
        <row r="985">
          <cell r="A985">
            <v>83680</v>
          </cell>
          <cell r="B985" t="str">
            <v>TUBO PVC D=3" COM MATERIAL DRENANTE PARA DRENO/BARBACA - FORNECIMENTO E INSTALACAO</v>
          </cell>
          <cell r="C985" t="str">
            <v>M</v>
          </cell>
          <cell r="D985">
            <v>12.08</v>
          </cell>
        </row>
        <row r="986">
          <cell r="A986">
            <v>83681</v>
          </cell>
          <cell r="B986" t="str">
            <v>TUBO PVC D=4" COM MATERIAL DRENANTE PARA DRENO/BARBACA - FORNECIMENTO E INSTALACAO</v>
          </cell>
          <cell r="C986" t="str">
            <v>M</v>
          </cell>
          <cell r="D986">
            <v>13.72</v>
          </cell>
        </row>
        <row r="987">
          <cell r="A987">
            <v>83682</v>
          </cell>
          <cell r="B987" t="str">
            <v>CAMADA VERTICAL DRENANTE C/ PEDRA BRITADA NUMS 1 E 2</v>
          </cell>
          <cell r="C987" t="str">
            <v>M3</v>
          </cell>
          <cell r="D987">
            <v>82.23</v>
          </cell>
        </row>
        <row r="988">
          <cell r="A988">
            <v>83683</v>
          </cell>
          <cell r="B988" t="str">
            <v>CAMADA HORIZONTAL DRENANTE C/ PEDRA BRITADA 1 E 2</v>
          </cell>
          <cell r="C988" t="str">
            <v>M3</v>
          </cell>
          <cell r="D988">
            <v>88.97</v>
          </cell>
        </row>
        <row r="989">
          <cell r="A989">
            <v>83729</v>
          </cell>
          <cell r="B989" t="str">
            <v>FORNECIMENTO/INSTALACAO DE MANTA BIDIM RT-31</v>
          </cell>
          <cell r="C989" t="str">
            <v>M2</v>
          </cell>
          <cell r="D989">
            <v>19.670000000000002</v>
          </cell>
        </row>
        <row r="990">
          <cell r="A990">
            <v>83739</v>
          </cell>
          <cell r="B990" t="str">
            <v>FORNECIMENTO/INSTALACAO DE MANTA BIDIM RT-10</v>
          </cell>
          <cell r="C990" t="str">
            <v>M2</v>
          </cell>
          <cell r="D990">
            <v>20.45</v>
          </cell>
        </row>
        <row r="991">
          <cell r="A991">
            <v>6454</v>
          </cell>
          <cell r="B991" t="str">
            <v>FORNECIMENTO E LANCAMENTO DE PEDRA DE MAO</v>
          </cell>
          <cell r="C991" t="str">
            <v>M3</v>
          </cell>
          <cell r="D991">
            <v>102.21</v>
          </cell>
        </row>
        <row r="992">
          <cell r="A992">
            <v>73611</v>
          </cell>
          <cell r="B992" t="str">
            <v>ENROCAMENTO COM PEDRA ARGAMASSADA TRAÇO 1:4 COM PEDRA DE MÃO</v>
          </cell>
          <cell r="C992" t="str">
            <v>M3</v>
          </cell>
          <cell r="D992">
            <v>240.27</v>
          </cell>
        </row>
        <row r="993">
          <cell r="A993">
            <v>73697</v>
          </cell>
          <cell r="B993" t="str">
            <v>ENROCAMENTO MANUAL, SEM ARRUMACAO DO MATERIAL</v>
          </cell>
          <cell r="C993" t="str">
            <v>M3</v>
          </cell>
          <cell r="D993">
            <v>96.41</v>
          </cell>
        </row>
        <row r="994">
          <cell r="A994">
            <v>73698</v>
          </cell>
          <cell r="B994" t="str">
            <v>ENROCAMENTO MANUAL, COM ARRUMACAO DO MATERIAL</v>
          </cell>
          <cell r="C994" t="str">
            <v>M3</v>
          </cell>
          <cell r="D994">
            <v>125.31</v>
          </cell>
        </row>
        <row r="995">
          <cell r="A995" t="str">
            <v>73890/1</v>
          </cell>
          <cell r="B995" t="str">
            <v>ENSECADEIRA DE MADEIRA COM PAREDE SIMPLES</v>
          </cell>
          <cell r="C995" t="str">
            <v>M2</v>
          </cell>
          <cell r="D995">
            <v>83.76</v>
          </cell>
        </row>
        <row r="996">
          <cell r="A996" t="str">
            <v>73890/2</v>
          </cell>
          <cell r="B996" t="str">
            <v>ENSECADEIRA DE MADEIRA COM PAREDE DUPLA</v>
          </cell>
          <cell r="C996" t="str">
            <v>M2</v>
          </cell>
          <cell r="D996">
            <v>212.5</v>
          </cell>
        </row>
        <row r="997">
          <cell r="A997">
            <v>73666</v>
          </cell>
          <cell r="B997" t="str">
            <v>GABIAO TIPO CAIXA H = 0,50M - MALHA HEXAG 8X10 REVESTIMENTO ZN/AL FIO 2,7MM C/ DIAFRAGAMA A CADA METRO E GEOTEXTIL</v>
          </cell>
          <cell r="C997" t="str">
            <v>M3</v>
          </cell>
          <cell r="D997">
            <v>320.2</v>
          </cell>
        </row>
        <row r="998">
          <cell r="A998" t="str">
            <v>73842/1</v>
          </cell>
          <cell r="B998" t="str">
            <v>GABIAO TIPO COLCHAO RENO/MANTA H = 0,17M - MALHA HEXAG 6X8 REVESTIMENTO ZN/AL C/ PVC FIO 2,0MM C/ DIAFRAGMA A CADA METRO E GEOTEXTIL</v>
          </cell>
          <cell r="C998" t="str">
            <v>M2</v>
          </cell>
          <cell r="D998">
            <v>122.33</v>
          </cell>
        </row>
        <row r="999">
          <cell r="A999" t="str">
            <v>73842/2</v>
          </cell>
          <cell r="B999" t="str">
            <v>GABIAO TIPO COLCHAO RENO/MANTA H = 0,23M - MALHA HEXAG 6X8 REVESTIMENTO ZN/AL C/ PVC FIO 2,0MM C/ DIAFRAGMA A CADA METRO E GEOTEXTIL</v>
          </cell>
          <cell r="C999" t="str">
            <v>M2</v>
          </cell>
          <cell r="D999">
            <v>121.3</v>
          </cell>
        </row>
        <row r="1000">
          <cell r="A1000" t="str">
            <v>73842/3</v>
          </cell>
          <cell r="B1000" t="str">
            <v>GABIAO TIPO COLCHAO RENO/MANTA H = 0,30 M - MALHA HEXAG 6X8 REVESTIMENTO ZN/AL C/ PVC FIO 2,0MM C/ DIFRAGMA A CADA METRO E GEOTEXTIL</v>
          </cell>
          <cell r="C1000" t="str">
            <v>M2</v>
          </cell>
          <cell r="D1000">
            <v>130.49</v>
          </cell>
        </row>
        <row r="1001">
          <cell r="A1001" t="str">
            <v>73889/1</v>
          </cell>
          <cell r="B1001" t="str">
            <v>GABIAO TIPO CAIXA H = 0,50M - MALHA HEXAG 8X10 REVESTIMENTO ZN/AL C/ PVC FIO 2,4MM C/ DIAFRAGAMA A CADA METRO E GEOTEXTIL</v>
          </cell>
          <cell r="C1001" t="str">
            <v>M3</v>
          </cell>
          <cell r="D1001">
            <v>363.77</v>
          </cell>
        </row>
        <row r="1002">
          <cell r="A1002" t="str">
            <v>73843/1</v>
          </cell>
          <cell r="B1002" t="str">
            <v>MURO DE ARRIMO DE CONCRETO CICLOPICO COM 30% DE PEDRA DE MAO</v>
          </cell>
          <cell r="C1002" t="str">
            <v>M3</v>
          </cell>
          <cell r="D1002">
            <v>246.5</v>
          </cell>
        </row>
        <row r="1003">
          <cell r="A1003" t="str">
            <v>73844/1</v>
          </cell>
          <cell r="B1003" t="str">
            <v>MURO DE ARRIMO DE ALVENARIA DE PEDRA ARGAMASSADA</v>
          </cell>
          <cell r="C1003" t="str">
            <v>M3</v>
          </cell>
          <cell r="D1003">
            <v>320.39</v>
          </cell>
        </row>
        <row r="1004">
          <cell r="A1004" t="str">
            <v>73844/2</v>
          </cell>
          <cell r="B1004" t="str">
            <v>MURO DE ARRIMO DE ALVENARIA DE TIJOLOS</v>
          </cell>
          <cell r="C1004" t="str">
            <v>M3</v>
          </cell>
          <cell r="D1004">
            <v>365.29</v>
          </cell>
        </row>
        <row r="1005">
          <cell r="A1005" t="str">
            <v>73846/1</v>
          </cell>
          <cell r="B1005" t="str">
            <v>MURO DE ARRIMO CELULAR PECAS PRE-MOLDADAS CONCRETO EXCL FORMAS INCL   CONFECCAO DAS PECAS MONTAGEM E COMPACTACAO DO SOLO DE ENCHIMENTO.</v>
          </cell>
          <cell r="C1005" t="str">
            <v>M3</v>
          </cell>
          <cell r="D1005">
            <v>195.47</v>
          </cell>
        </row>
        <row r="1006">
          <cell r="A1006" t="str">
            <v>73846/2</v>
          </cell>
          <cell r="B1006" t="str">
            <v>MURO DE ARRIMO CELULAR PECAS PRE-MOLDADAS CONCRETO EXCL MATERIAIS E   FORMAS INCL CONFECCAO PECAS MONTAGEM E COMPACTACAO DO SOLO(ENCHIMENTO)</v>
          </cell>
          <cell r="C1006" t="str">
            <v>M3</v>
          </cell>
          <cell r="D1006">
            <v>71.36</v>
          </cell>
        </row>
        <row r="1007">
          <cell r="A1007">
            <v>83684</v>
          </cell>
          <cell r="B1007" t="str">
            <v>CALHA TRAPEZOIDAL 90X30 CM, COM ESPESSURA DE 7 CM (VOLUME DE CONCRETO = 0,064 M3/M)</v>
          </cell>
          <cell r="C1007" t="str">
            <v>M</v>
          </cell>
          <cell r="D1007">
            <v>20.53</v>
          </cell>
        </row>
        <row r="1008">
          <cell r="A1008">
            <v>83685</v>
          </cell>
          <cell r="B1008" t="str">
            <v>CALHA TRAPEZOIDAL 140X35 CM, COM ESPESSURA DE 7 CM (VOLUME DE CONCRETO = 1,109M3/M)</v>
          </cell>
          <cell r="C1008" t="str">
            <v>M</v>
          </cell>
          <cell r="D1008">
            <v>36.049999999999997</v>
          </cell>
        </row>
        <row r="1009">
          <cell r="A1009">
            <v>83686</v>
          </cell>
          <cell r="B1009" t="str">
            <v>CALHA TRIANGULAR 100X30 CM, COM ESPESSURA DE 7 CM (VOLUME DE CONCRETO = 0,075M3/M)</v>
          </cell>
          <cell r="C1009" t="str">
            <v>M</v>
          </cell>
          <cell r="D1009">
            <v>22.22</v>
          </cell>
        </row>
        <row r="1010">
          <cell r="A1010">
            <v>83687</v>
          </cell>
          <cell r="B1010" t="str">
            <v>CALHA TRIANGULAR 70X20 CM, COM ESPESSURA DE 7 CM (VOLUME DE CONCRETO = 0,053 M3/M)</v>
          </cell>
          <cell r="C1010" t="str">
            <v>M</v>
          </cell>
          <cell r="D1010">
            <v>17.190000000000001</v>
          </cell>
        </row>
        <row r="1011">
          <cell r="A1011">
            <v>83688</v>
          </cell>
          <cell r="B1011" t="str">
            <v>CANALETA EM ALVENARIA COM TIJOLO DE 1/2 VEZ, DIMENSOES 30X15CM (LXA), COM IMPERMEABILIZANTE NA ARGAMASSA</v>
          </cell>
          <cell r="C1011" t="str">
            <v>M</v>
          </cell>
          <cell r="D1011">
            <v>148.93</v>
          </cell>
        </row>
        <row r="1012">
          <cell r="A1012">
            <v>83689</v>
          </cell>
          <cell r="B1012" t="str">
            <v>CALHA EM MEIO TUBO DE CONCRETO SIMPLES, COM D = 30 CM</v>
          </cell>
          <cell r="C1012" t="str">
            <v>M</v>
          </cell>
          <cell r="D1012">
            <v>32.81</v>
          </cell>
        </row>
        <row r="1013">
          <cell r="A1013">
            <v>83690</v>
          </cell>
          <cell r="B1013" t="str">
            <v>DISSIPADOR DE ENERGIA EM PEDRA ARGAMASSADA ESPESSURA 6CM INCL MATERIAIS E COLOCACAO MEDIDO P/ VOLUME DE PEDRA ARGAMASSADA</v>
          </cell>
          <cell r="C1013" t="str">
            <v>M3</v>
          </cell>
          <cell r="D1013">
            <v>291.10000000000002</v>
          </cell>
        </row>
        <row r="1014">
          <cell r="A1014" t="str">
            <v>73799/1</v>
          </cell>
          <cell r="B1014" t="str">
            <v>GRELHA EM FERRO FUNDIDO, DIMENSÕES 30X90CM, 85KG PARA CX RALO, FORNECIDA E ASSENTADA COM ARGAMASSA 1:4 CIMENTO:AREIA.</v>
          </cell>
          <cell r="C1014" t="str">
            <v>UN</v>
          </cell>
          <cell r="D1014">
            <v>347.52</v>
          </cell>
        </row>
        <row r="1015">
          <cell r="A1015" t="str">
            <v>73856/1</v>
          </cell>
          <cell r="B1015" t="str">
            <v>BOCA P/BUEIRO SIMPLES TUBULAR D=0,40M EM CONCRETO CICLOPICO, INCLINDO FORMAS, ESCAVACAO, REATERRO E MATERIAIS, EXCLUINDO MATERIAL REATERRO JAZIDA E TRANSPORTE</v>
          </cell>
          <cell r="C1015" t="str">
            <v>UN</v>
          </cell>
          <cell r="D1015">
            <v>288.62</v>
          </cell>
        </row>
        <row r="1016">
          <cell r="A1016" t="str">
            <v>73856/2</v>
          </cell>
          <cell r="B1016" t="str">
            <v>BOCA PARA BUEIRO SIMPLES TUBULAR, DIAMETRO =0,60M, EM CONCRETO CICLOPICO, INCLUINDO FORMAS, ESCAVACAO, REATERRO E MATERIAIS, EXCLUINDO MATERIAL REATERRO JAZIDA E TRANSPORTE.</v>
          </cell>
          <cell r="C1016" t="str">
            <v>UN</v>
          </cell>
          <cell r="D1016">
            <v>483.12</v>
          </cell>
        </row>
        <row r="1017">
          <cell r="A1017" t="str">
            <v>73856/3</v>
          </cell>
          <cell r="B1017" t="str">
            <v>BOCA PARA BUEIRO SIMPLES TUBULAR, DIAMETRO =0,80M, EM CONCRETO CICLOPICO, INCLUINDO FORMAS, ESCAVACAO, REATERRO E MATERIAIS, EXCLUINDO MATERIAL REATERRO JAZIDA E TRANSPORTE.</v>
          </cell>
          <cell r="C1017" t="str">
            <v>UN</v>
          </cell>
          <cell r="D1017">
            <v>736.23</v>
          </cell>
        </row>
        <row r="1018">
          <cell r="A1018" t="str">
            <v>73856/4</v>
          </cell>
          <cell r="B1018" t="str">
            <v>BOCA PARA BUEIRO SIMPLES TUBULAR, DIAMETRO =1,00M, EM CONCRETO CICLOPICO, INCLUINDO FORMAS, ESCAVACAO, REATERRO E MATERIAIS, EXCLUINDO MATERIAL REATERRO JAZIDA E TRANSPORTE.</v>
          </cell>
          <cell r="C1018" t="str">
            <v>UN</v>
          </cell>
          <cell r="D1018">
            <v>1052.83</v>
          </cell>
        </row>
        <row r="1019">
          <cell r="A1019" t="str">
            <v>73856/5</v>
          </cell>
          <cell r="B1019" t="str">
            <v>BOCA PARA BUEIRO SIMPLES TUBULAR, DIAMETRO =1,20M, EM CONCRETO CICLOPICO, INCLUINDO FORMAS, ESCAVACAO, REATERRO E MATERIAIS, EXCLUINDO MATERIAL REATERRO JAZIDA E TRANSPORTE.</v>
          </cell>
          <cell r="C1019" t="str">
            <v>UN</v>
          </cell>
          <cell r="D1019">
            <v>1436.79</v>
          </cell>
        </row>
        <row r="1020">
          <cell r="A1020" t="str">
            <v>73856/6</v>
          </cell>
          <cell r="B1020" t="str">
            <v>BOCA PARA BUEIRO DUPLO TUBULAR, DIAMETRO =0,40M, EM CONCRETO CICLOPICO, INCLUINDO FORMAS, ESCAVACAO, REATERRO E MATERIAIS, EXCLUINDO MATERIAL REATERRO JAZIDA E TRANSPORTE.</v>
          </cell>
          <cell r="C1020" t="str">
            <v>UN</v>
          </cell>
          <cell r="D1020">
            <v>413.33</v>
          </cell>
        </row>
        <row r="1021">
          <cell r="A1021" t="str">
            <v>73856/7</v>
          </cell>
          <cell r="B1021" t="str">
            <v>BOCA PARA BUEIRO DUPLO TUBULAR, DIAMETRO =0,60M, EM CONCRETO CICLOPICO, INCLUINDO FORMAS, ESCAVACAO, REATERRO E MATERIAIS, EXCLUINDO MATERIAL REATERRO JAZIDA E TRANSPORTE.</v>
          </cell>
          <cell r="C1021" t="str">
            <v>UN</v>
          </cell>
          <cell r="D1021">
            <v>694.67</v>
          </cell>
        </row>
        <row r="1022">
          <cell r="A1022" t="str">
            <v>73856/8</v>
          </cell>
          <cell r="B1022" t="str">
            <v>BOCA PARA BUEIRO DUPLO TUBULAR, DIAMETRO =0,80M, EM CONCRETO CICLOPICO, INCLUINDO FORMAS, ESCAVACAO, REATERRO E MATERIAIS, EXCLUINDO MATERIAL REATERRO JAZIDA E TRANSPORTE.</v>
          </cell>
          <cell r="C1022" t="str">
            <v>UN</v>
          </cell>
          <cell r="D1022">
            <v>1058.54</v>
          </cell>
        </row>
        <row r="1023">
          <cell r="A1023" t="str">
            <v>73856/9</v>
          </cell>
          <cell r="B1023" t="str">
            <v>BOCA PARA BUEIRO DUPLO TUBULAR, DIAMETRO =1,00M, EM CONCRETO CICLOPICO, INCLUINDO FORMAS, ESCAVACAO, REATERRO E MATERIAIS, EXCLUINDO MATERIAL REATERRO JAZIDA E TRANSPORTE.</v>
          </cell>
          <cell r="C1023" t="str">
            <v>UN</v>
          </cell>
          <cell r="D1023">
            <v>1290.44</v>
          </cell>
        </row>
        <row r="1024">
          <cell r="A1024" t="str">
            <v>73856/10</v>
          </cell>
          <cell r="B1024" t="str">
            <v>BOCA PARA BUEIRO DUPLOTUBULAR, DIAMETRO =1,20M, EM CONCRETO CICLOPICO, INCLUINDO FORMAS, ESCAVACAO, REATERRO E MATERIAIS, EXCLUINDO MATERIAL REATERRO JAZIDA E TRANSPORTE.</v>
          </cell>
          <cell r="C1024" t="str">
            <v>UN</v>
          </cell>
          <cell r="D1024">
            <v>2055.17</v>
          </cell>
        </row>
        <row r="1025">
          <cell r="A1025" t="str">
            <v>73856/11</v>
          </cell>
          <cell r="B1025" t="str">
            <v>BOCA PARA BUEIRO TRIPLO TUBULAR, DIAMETRO =0,40M, EM CONCRETO CICLOPICO, INCLUINDO FORMAS, ESCAVACAO, REATERRO E MATERIAIS, EXCLUINDO MATERIAL REATERRO JAZIDA E TRANSPORTE.</v>
          </cell>
          <cell r="C1025" t="str">
            <v>UN</v>
          </cell>
          <cell r="D1025">
            <v>537.72</v>
          </cell>
        </row>
        <row r="1026">
          <cell r="A1026" t="str">
            <v>73856/12</v>
          </cell>
          <cell r="B1026" t="str">
            <v>BOCA PARA BUEIRO TRIPLO TUBULAR, DIAMETRO =0,60M, EM CONCRETO CICLOPICO, INCLUINDO FORMAS, ESCAVACAO, REATERRO E MATERIAIS, EXCLUINDO MATERIAL REATERRO JAZIDA E TRANSPORTE.</v>
          </cell>
          <cell r="C1026" t="str">
            <v>UN</v>
          </cell>
          <cell r="D1026">
            <v>905.88</v>
          </cell>
        </row>
        <row r="1027">
          <cell r="A1027" t="str">
            <v>73856/13</v>
          </cell>
          <cell r="B1027" t="str">
            <v>BOCA PARA BUEIRO TRIPLO TUBULAR, DIAMETRO =0,80M, EM CONCRETO CICLOPICO, INCLUINDO FORMAS, ESCAVACAO, REATERRO E MATERIAIS, EXCLUINDO MATERIAL REATERRO JAZIDA E TRANSPORTE.</v>
          </cell>
          <cell r="C1027" t="str">
            <v>UN</v>
          </cell>
          <cell r="D1027">
            <v>1380.57</v>
          </cell>
        </row>
        <row r="1028">
          <cell r="A1028" t="str">
            <v>73856/14</v>
          </cell>
          <cell r="B1028" t="str">
            <v>BOCA PARA BUEIRO TRIPLO TUBULAR, DIAMETRO =1,00M, EM CONCRETO CICLOPICO, INCLUINDO FORMAS, ESCAVACAO, REATERRO E MATERIAIS, EXCLUINDO MATERIAL REATERRO JAZIDA E TRANSPORTE.</v>
          </cell>
          <cell r="C1028" t="str">
            <v>UN</v>
          </cell>
          <cell r="D1028">
            <v>1967.86</v>
          </cell>
        </row>
        <row r="1029">
          <cell r="A1029" t="str">
            <v>73856/15</v>
          </cell>
          <cell r="B1029" t="str">
            <v>BOCA PARA BUEIRO TRIPLO TUBULAR, DIAMETRO =1,20M, EM CONCRETO CICLOPICO, INCLUINDO FORMAS, ESCAVACAO, REATERRO E MATERIAIS, EXCLUINDO MATERIAL REATERRO JAZIDA E TRANSPORTE.</v>
          </cell>
          <cell r="C1029" t="str">
            <v>UN</v>
          </cell>
          <cell r="D1029">
            <v>2673.61</v>
          </cell>
        </row>
        <row r="1030">
          <cell r="A1030" t="str">
            <v>73950/1</v>
          </cell>
          <cell r="B1030" t="str">
            <v>CAIXA TIPO BOCA LOBO 30X90X90CM, EM ALV TIJ MACICO 1 VEZ, REVESTIDA  COM ARGAMASSA 1:4 CIMENTO:AREIA, SOBRE BASE DE CONCRETO SIMPLES FCK=10MPA, COM GRELHA FOFO 135KG, INCLUINDO ESCAVACAO E REATERRO.</v>
          </cell>
          <cell r="C1030" t="str">
            <v>UN</v>
          </cell>
          <cell r="D1030">
            <v>970.41</v>
          </cell>
        </row>
        <row r="1031">
          <cell r="A1031" t="str">
            <v>73963/1</v>
          </cell>
          <cell r="B1031" t="str">
            <v>POCO DE VISITA PARA REDE DE ESG. SANIT., EM ANEIS DE CONCRETO, DIÂMETRO = 60CM, PROF=80CM, INCLUINDO DEGRAU,  EXCLUINDO TAMPAO FERRO FUNDIDO.</v>
          </cell>
          <cell r="C1031" t="str">
            <v>UN</v>
          </cell>
          <cell r="D1031">
            <v>221.45</v>
          </cell>
        </row>
        <row r="1032">
          <cell r="A1032" t="str">
            <v>73963/2</v>
          </cell>
          <cell r="B1032" t="str">
            <v>POCO DE VISITA PARA REDE DE ESG. SANIT., EM ANEIS DE CONCRETO, DIÂMETRO = 60CM, PROF = 100CM, INCLUINDO DEGRAU, EXCLUINDO TAMPAO FERRO FUNDIDO.</v>
          </cell>
          <cell r="C1032" t="str">
            <v>UN</v>
          </cell>
          <cell r="D1032">
            <v>288.74</v>
          </cell>
        </row>
        <row r="1033">
          <cell r="A1033" t="str">
            <v>73963/3</v>
          </cell>
          <cell r="B1033" t="str">
            <v>POCO DE VISITA PARA REDE DE ESG. SANIT., EM ANEIS DE CONCRETO, DIÂMETRO = 60CM, PROF = 60CM, INCLUINDO DEGRAU, EXCLUINDO TAMPAO FERRO FUNDIDO.</v>
          </cell>
          <cell r="C1033" t="str">
            <v>UN</v>
          </cell>
          <cell r="D1033">
            <v>192.35</v>
          </cell>
        </row>
        <row r="1034">
          <cell r="A1034" t="str">
            <v>73963/4</v>
          </cell>
          <cell r="B1034" t="str">
            <v>POCO DE VISITA PARA REDE DE ESG. SANIT., EM ANEIS DE CONCRETO, DIÂMETRO = 60CM E 110CM, PROF = 105CM, INCLUINDO DEGRAU, EXCLUINDO TAMPAO FERRO FUNDIDO.</v>
          </cell>
          <cell r="C1034" t="str">
            <v>UN</v>
          </cell>
          <cell r="D1034">
            <v>802.97</v>
          </cell>
        </row>
        <row r="1035">
          <cell r="A1035" t="str">
            <v>73963/5</v>
          </cell>
          <cell r="B1035" t="str">
            <v>POCO DE VISITA PARA REDE DE ESG. SANIT., EM ANEIS DE CONCRETO, DIÂMETRO = 60CM E 110CM, PROF = 120CM, INCLUINDO DEGRAU, EXCLUINDO TAMPAO FERRO FUNDIDO.</v>
          </cell>
          <cell r="C1035" t="str">
            <v>UN</v>
          </cell>
          <cell r="D1035">
            <v>883.42</v>
          </cell>
        </row>
        <row r="1036">
          <cell r="A1036" t="str">
            <v>73963/6</v>
          </cell>
          <cell r="B1036" t="str">
            <v>POCO DE VISITA PARA REDE DE ESG. SANIT., EM ANEIS DE CONCRETO, DIÂMETRO = 60CM E 110CM, PROF = 140CM, INCLUINDO DEGRAU, EXCLUINDO TAMPAO FERRO FUNDIDO.</v>
          </cell>
          <cell r="C1036" t="str">
            <v>UN</v>
          </cell>
          <cell r="D1036">
            <v>1021.28</v>
          </cell>
        </row>
        <row r="1037">
          <cell r="A1037" t="str">
            <v>73963/7</v>
          </cell>
          <cell r="B1037" t="str">
            <v>POCO DE VISITA PARA REDE DE ESG. SANIT., EM ANEIS DE CONCRETO, DIÂMETRO = 60CM E 110CM, PROF = 150CM, INCLUINDO DEGRAU, EXCLUINDO TAMPAO FERRO FUNDIDO.</v>
          </cell>
          <cell r="C1037" t="str">
            <v>UN</v>
          </cell>
          <cell r="D1037">
            <v>1099.8399999999999</v>
          </cell>
        </row>
        <row r="1038">
          <cell r="A1038" t="str">
            <v>73963/8</v>
          </cell>
          <cell r="B1038" t="str">
            <v>POCO DE VISITA PARA REDE DE ESG. SANIT., EM ANEIS DE CONCRETO, DIÂMETRO = 60CM E 110CM, PROF = 160CM, INCLUINDO DEGRAU, EXCLUINDO TAMPAO FERRO FUNDIDO.</v>
          </cell>
          <cell r="C1038" t="str">
            <v>UN</v>
          </cell>
          <cell r="D1038">
            <v>1105.25</v>
          </cell>
        </row>
        <row r="1039">
          <cell r="A1039" t="str">
            <v>73963/9</v>
          </cell>
          <cell r="B1039" t="str">
            <v>POCO DE VISITA PARA REDE DE ESG. SANIT., EM ANEIS DE CONCRETO, DIÂMETRO = 110CM, PROF = 170CM, INCLUINDO DEGRAU, EXCLUINDO TAMPAO FERRO FUNDIDO.</v>
          </cell>
          <cell r="C1039" t="str">
            <v>UN</v>
          </cell>
          <cell r="D1039">
            <v>1183.8699999999999</v>
          </cell>
        </row>
        <row r="1040">
          <cell r="A1040" t="str">
            <v>73963/10</v>
          </cell>
          <cell r="B1040" t="str">
            <v>POCO DE VISITA PARA REDE DE ESG. SANIT., EM ANEIS DE CONCRETO, DIÂMETRO = 60CM E 110CM, PROF = 200CM, INCLUINDO DEGRAU, EXCLUINDO TAMPAO FERRO FUNDIDO.</v>
          </cell>
          <cell r="C1040" t="str">
            <v>UN</v>
          </cell>
          <cell r="D1040">
            <v>1274.3699999999999</v>
          </cell>
        </row>
        <row r="1041">
          <cell r="A1041" t="str">
            <v>73963/11</v>
          </cell>
          <cell r="B1041" t="str">
            <v>POCO DE VISITA PARA REDE DE ESG. SANIT., EM ANEIS DE CONCRETO, DIÂMETRO = 60CM E 110CM, PROF = 230CM, INCLUINDO DEGRAU, EXCLUINDO TAMPAO FERRO FUNDIDO.</v>
          </cell>
          <cell r="C1041" t="str">
            <v>UN</v>
          </cell>
          <cell r="D1041">
            <v>1381.88</v>
          </cell>
        </row>
        <row r="1042">
          <cell r="A1042" t="str">
            <v>73963/12</v>
          </cell>
          <cell r="B1042" t="str">
            <v>POCO DE VISITA PARA REDE DE ESG. SANIT., EM ANEIS DE CONCRETO, DIÂMETRO = 60CM E 110CM, PROF = 260CM, INCLUINDO DEGRAU, EXCLUINDO TAMPAO FERRO FUNDIDO.</v>
          </cell>
          <cell r="C1042" t="str">
            <v>UN</v>
          </cell>
          <cell r="D1042">
            <v>1542.62</v>
          </cell>
        </row>
        <row r="1043">
          <cell r="A1043" t="str">
            <v>73963/13</v>
          </cell>
          <cell r="B1043" t="str">
            <v>POCO DE VISITA PARA REDE DE ESG. SANIT., EM ANEIS DE CONCRETO, DIÂMETRO = 60CM E 110CM, PROF = 290CM, INCLUINDO DEGRAU, EXCLUINDO TAMPAO FERRO FUNDIDO.</v>
          </cell>
          <cell r="C1043" t="str">
            <v>UN</v>
          </cell>
          <cell r="D1043">
            <v>1701.18</v>
          </cell>
        </row>
        <row r="1044">
          <cell r="A1044" t="str">
            <v>73963/14</v>
          </cell>
          <cell r="B1044" t="str">
            <v>POCO DE VISITA PARA REDE DE ESG. SANIT., EM ANEIS DE CONCRETO, DIÂMETRO = 60CM E 110CM, PROF = 320CM, INCLUINDO DEGRAU, EXCLUINDO TAMPAO FERRO FUNDIDO.</v>
          </cell>
          <cell r="C1044" t="str">
            <v>UN</v>
          </cell>
          <cell r="D1044">
            <v>1798.96</v>
          </cell>
        </row>
        <row r="1045">
          <cell r="A1045" t="str">
            <v>73963/15</v>
          </cell>
          <cell r="B1045" t="str">
            <v>POCO DE VISITA PARA REDE DE ESG. SANIT., EM ANEIS DE CONCRETO, DIÂMETRO = 60CM E 110CM, PROF = 350CM, INCLUINDO DEGRAU, EXCLUINDO TAMPAO FERRO FUNDIDO.</v>
          </cell>
          <cell r="C1045" t="str">
            <v>UN</v>
          </cell>
          <cell r="D1045">
            <v>1968.53</v>
          </cell>
        </row>
        <row r="1046">
          <cell r="A1046" t="str">
            <v>73963/16</v>
          </cell>
          <cell r="B1046" t="str">
            <v>POCO DE VISITA PARA REDE DE ESG. SANIT., EM ANEIS DE CONCRETO, DIÂMETRO = 60CM E 110CM, PROF = 380CM, INCLUINDO DEGRAU, EXCLUINDO TAMPAO FERRO FUNDIDO.</v>
          </cell>
          <cell r="C1046" t="str">
            <v>UN</v>
          </cell>
          <cell r="D1046">
            <v>2116.2399999999998</v>
          </cell>
        </row>
        <row r="1047">
          <cell r="A1047" t="str">
            <v>73963/17</v>
          </cell>
          <cell r="B1047" t="str">
            <v>POCO DE VISITA PARA REDE DE ESG. SANIT., EM ANEIS DE CONCRETO, DIÂMETRO = 60CM E 110CM, PROF = 410CM, INCLUINDO DEGRAU, EXCLUINDO TAMPAO FERRO FUNDIDO.</v>
          </cell>
          <cell r="C1047" t="str">
            <v>UN</v>
          </cell>
          <cell r="D1047">
            <v>2284.11</v>
          </cell>
        </row>
        <row r="1048">
          <cell r="A1048" t="str">
            <v>73963/18</v>
          </cell>
          <cell r="B1048" t="str">
            <v>POCO DE VISITA PARA REDE DE ESG. SANIT., EM ANEIS DE CONCRETO, DIÂMETRO = 60CM E 110CM, PROF = 440CM, INCLUINDO DEGRAU, EXCLUINDO TAMPAO FERRO FUNDIDO.</v>
          </cell>
          <cell r="C1048" t="str">
            <v>UN</v>
          </cell>
          <cell r="D1048">
            <v>2390.4899999999998</v>
          </cell>
        </row>
        <row r="1049">
          <cell r="A1049" t="str">
            <v>73963/19</v>
          </cell>
          <cell r="B1049" t="str">
            <v>POCO DE VISITA PARA REDE DE ESG. SANIT., EM ANEIS DE CONCRETO, DIÂMETRO = 60CM E 110CM, PROF = 470CM, INCLUINDO DEGRAU, EXCLUINDO TAMPAO FERRO FUNDIDO.</v>
          </cell>
          <cell r="C1049" t="str">
            <v>UN</v>
          </cell>
          <cell r="D1049">
            <v>2549.34</v>
          </cell>
        </row>
        <row r="1050">
          <cell r="A1050" t="str">
            <v>73963/20</v>
          </cell>
          <cell r="B1050" t="str">
            <v>POCO DE VISITA PARA REDE DE ESG. SANIT., EM ANEIS DE CONCRETO, DIÂMETRO = 60CM E 110CM, PROF = 500CM, INCLUINDO DEGRAU, EXCLUINDO TAMPAO FERRO FUNDIDO.</v>
          </cell>
          <cell r="C1050" t="str">
            <v>UN</v>
          </cell>
          <cell r="D1050">
            <v>2707.72</v>
          </cell>
        </row>
        <row r="1051">
          <cell r="A1051" t="str">
            <v>73963/21</v>
          </cell>
          <cell r="B1051" t="str">
            <v>POCO DE VISITA PARA REDE DE ESG. SANIT., EM ANEIS DE CONCRETO, DIÂMETRO = 60CM E 110CM, PROF = 530CM, INCLUINDO DEGRAU, EXCLUINDO TAMPAO FERRO FUNDIDO.</v>
          </cell>
          <cell r="C1051" t="str">
            <v>UN</v>
          </cell>
          <cell r="D1051">
            <v>2873.77</v>
          </cell>
        </row>
        <row r="1052">
          <cell r="A1052" t="str">
            <v>73963/22</v>
          </cell>
          <cell r="B1052" t="str">
            <v>POCO DE VISITA PARA REDE DE ESG. SANIT., EM ANEIS DE CONCRETO, DIÂMETRO = 60CM E 110CM, PROF = 560CM, INCLUINDO DEGRAU, EXCLUINDO TAMPAO FERRO FUNDIDO.</v>
          </cell>
          <cell r="C1052" t="str">
            <v>UN</v>
          </cell>
          <cell r="D1052">
            <v>3032.14</v>
          </cell>
        </row>
        <row r="1053">
          <cell r="A1053" t="str">
            <v>73963/23</v>
          </cell>
          <cell r="B1053" t="str">
            <v>POCO DE VISITA PARA REDE DE ESG. SANIT., EM ANEIS DE CONCRETO, DIÂMETRO = 60CM E 110CM, PROF = 590CM, INCLUINDO DEGRAU, EXCLUINDO TAMPAO FERRO FUNDIDO.</v>
          </cell>
          <cell r="C1053" t="str">
            <v>UN</v>
          </cell>
          <cell r="D1053">
            <v>3190.52</v>
          </cell>
        </row>
        <row r="1054">
          <cell r="A1054" t="str">
            <v>73963/24</v>
          </cell>
          <cell r="B1054" t="str">
            <v>POCO DE VISITA PARA REDE DE ESG. SANIT., EM ANEIS DE CONCRETO, DIÂMETRO = 60CM E 110CM, PROF = 690CM, INCLUINDO DEGRAU, EXCLUINDO TAMPAO FERRO FUNDIDO.</v>
          </cell>
          <cell r="C1054" t="str">
            <v>UN</v>
          </cell>
          <cell r="D1054">
            <v>3349.65</v>
          </cell>
        </row>
        <row r="1055">
          <cell r="A1055" t="str">
            <v>73963/25</v>
          </cell>
          <cell r="B1055" t="str">
            <v>POCO DE VISITA PARA REDE DE ESG. SANIT., EM ANEIS DE CONCRETO, DIÂMETRO = 60CM E 110CM, PROF = 650CM, INCLUINDO DEGRAU, EXCLUINDO TAMPAO FERRO FUNDIDO.</v>
          </cell>
          <cell r="C1055" t="str">
            <v>UN</v>
          </cell>
          <cell r="D1055">
            <v>3508.03</v>
          </cell>
        </row>
        <row r="1056">
          <cell r="A1056" t="str">
            <v>73963/26</v>
          </cell>
          <cell r="B1056" t="str">
            <v>POCO DE VISITA PARA REDE DE ESG. SANIT., EM ANEIS DE CONCRETO, DIÂMETRO = 60CM E 110CM, PROF = 680CM, INCLUINDO DEGRAU, EXCLUINDO TAMPAO FERRO FUNDIDO.</v>
          </cell>
          <cell r="C1056" t="str">
            <v>UN</v>
          </cell>
          <cell r="D1056">
            <v>3666.89</v>
          </cell>
        </row>
        <row r="1057">
          <cell r="A1057" t="str">
            <v>73963/27</v>
          </cell>
          <cell r="B1057" t="str">
            <v>POCO DE VISITA PARA REDE DE ESG. SANIT., EM ANEIS DE CONCRETO, DIÂMETRO = 60CM E 110CM, PROF = 710CM, INCLUINDO DEGRAU, EXCLUINDO TAMPAO FERRO FUNDIDO.</v>
          </cell>
          <cell r="C1057" t="str">
            <v>UN</v>
          </cell>
          <cell r="D1057">
            <v>3825.26</v>
          </cell>
        </row>
        <row r="1058">
          <cell r="A1058" t="str">
            <v>73963/28</v>
          </cell>
          <cell r="B1058" t="str">
            <v>POCO VISITA ESG SANIT ANEL CONC PRE-MOLD PROF=1,20M C/TAMPAO          FF TIPO MEDIO(AD)D=60CM 125KG/DEGRAUS FF/REJUNTAMENTO ANEIS/          REVEST LISO CALHA INTERNA C/ARG CIM/AREIA 1:4. BASE/BANQUETA          EM CONCR FCK=10MPA</v>
          </cell>
          <cell r="C1058" t="str">
            <v>UN</v>
          </cell>
          <cell r="D1058">
            <v>1178.94</v>
          </cell>
        </row>
        <row r="1059">
          <cell r="A1059" t="str">
            <v>73963/29</v>
          </cell>
          <cell r="B1059" t="str">
            <v>POCO VISITA ESG SANIT ANEL CONC PRE-MOLD PROF=1,40M C/TAMPAO          FF TIPO MEDIO(AD)D=60CM 125KG/DEGRAUS FF/REJUNTAMENTO ANEIS/          REVEST LISO CALHA INTERNA C/ARG CIM/AREIA 1:4. BASE/BANQUETA          EM CONCR FCK=10MPA</v>
          </cell>
          <cell r="C1059" t="str">
            <v>UN</v>
          </cell>
          <cell r="D1059">
            <v>1307.46</v>
          </cell>
        </row>
        <row r="1060">
          <cell r="A1060" t="str">
            <v>73963/30</v>
          </cell>
          <cell r="B1060" t="str">
            <v>POCO VISITA ESG SANIT ANEL CONC PRE-MOLD PROF=1,50M C/TAMPAO          FF TIPO MEDIO(AD)D=60CM 125KG/DEGRAUS FF/REJUNTAMENTO ANEIS/          REVEST LISO CALHA INTERNA C/ARG CIM/AREIA 1:4. BASE/BANQUETA          EM CONCR FCK=10MPA</v>
          </cell>
          <cell r="C1060" t="str">
            <v>UN</v>
          </cell>
          <cell r="D1060">
            <v>1409.07</v>
          </cell>
        </row>
        <row r="1061">
          <cell r="A1061" t="str">
            <v>73963/31</v>
          </cell>
          <cell r="B1061" t="str">
            <v>POCO VISITA ESG SANIT ANEL CONC PRE-MOLD PROF=1,60M C/TAMPAO          FF TIPO MEDIO(AD)D=60CM 125KG/DEGRAUS FF/REJUNTAMENTO ANEIS/          REVEST LISO CALHA INTERNA C/ARG CIM/AREIA 1:4. BASE/BANQUETA          EM CONCR FCK=10MPA</v>
          </cell>
          <cell r="C1061" t="str">
            <v>UN</v>
          </cell>
          <cell r="D1061">
            <v>1415.25</v>
          </cell>
        </row>
        <row r="1062">
          <cell r="A1062" t="str">
            <v>73963/32</v>
          </cell>
          <cell r="B1062" t="str">
            <v>POCO VISITA ESG SANIT ANEL CONC PRE-MOLD PROF=1,70M C/TAMPAO          FF TIPO MEDIO(AD)D=60CM 125KG/DEGRAUS FF/REJUNTAMENTO ANEIS/          REVEST LISO CALHA INTERNA C/ARG CIM/AREIA 1:4. BASE/BANQUETA          EM CONCR FCK=10MPA</v>
          </cell>
          <cell r="C1062" t="str">
            <v>UN</v>
          </cell>
          <cell r="D1062">
            <v>1434.37</v>
          </cell>
        </row>
        <row r="1063">
          <cell r="A1063" t="str">
            <v>73963/33</v>
          </cell>
          <cell r="B1063" t="str">
            <v>POCO VISITA ESG SANIT ANEL CONC PRE-MOLD PROF=2,00M C/TAMPAO          FF TIPO MEDIO(AD)D=60CM 125KG/DEGRAUS FF/REJUNTAMENTO ANEIS/          REVEST LISO CALHA INTERNA C/ARG CIM/AREIA 1:4. BASE/BANQUETA          EM CONCR FCK=10MPA</v>
          </cell>
          <cell r="C1063" t="str">
            <v>UN</v>
          </cell>
          <cell r="D1063">
            <v>1594.06</v>
          </cell>
        </row>
        <row r="1064">
          <cell r="A1064" t="str">
            <v>73963/34</v>
          </cell>
          <cell r="B1064" t="str">
            <v>POCO VISITA ESG SANIT ANEL CONC PRE MOLD PROF=2,30M C/TAMPAO          FF TIPO MEDIO(AD)D=60CM 125KG/DEGRAUS FF/REJUNTAMENTO ANEIS/          REVEST LISO CALHA INTERNA C/ARG CIM/AREIA 1:4. BASE/BANQUETA          EM CONCR FCK=10MPA</v>
          </cell>
          <cell r="C1064" t="str">
            <v>UN</v>
          </cell>
          <cell r="D1064">
            <v>1693.52</v>
          </cell>
        </row>
        <row r="1065">
          <cell r="A1065" t="str">
            <v>73963/35</v>
          </cell>
          <cell r="B1065" t="str">
            <v>POCO VISITA ESG SANIT ANEL CONC PRE-MOLD PROF=2,60M C/TAMPAO          FF TIPO MEDIO(AD)D=60CM 125KG/DEGRAUS FF/REJUNTAMENTO ANEIS/          REVEST LISO CALHA INTERNA C/ARG CIM/AREIA 1:4. BASE/BANQUETA          EM CONCR FCK=10MPA</v>
          </cell>
          <cell r="C1065" t="str">
            <v>UN</v>
          </cell>
          <cell r="D1065">
            <v>1853.21</v>
          </cell>
        </row>
        <row r="1066">
          <cell r="A1066" t="str">
            <v>73963/36</v>
          </cell>
          <cell r="B1066" t="str">
            <v>POCO VISITA ESG SANIT ANEL CONC PRE-MOLD PROF=2,90M C/TAMPAO          FF TIPO MEDIO(AD) D=60CM 125KG/DEGRAUS FF/REJUNTAMENTO ANEIS/         REVEST LISO CALHA INTERNA C/ARG CIM/AREIA 1:4. BASE/BANQUETA          EM CONCR FCK=10MPA</v>
          </cell>
          <cell r="C1066" t="str">
            <v>UN</v>
          </cell>
          <cell r="D1066">
            <v>2012.9</v>
          </cell>
        </row>
        <row r="1067">
          <cell r="A1067" t="str">
            <v>73963/37</v>
          </cell>
          <cell r="B1067" t="str">
            <v>POCO VISITA ESG SANIT ANEL CONC PRE-MOLD PROF=3,20M C/TAMPAO          FF TIPO MEDIO(AD)D=60CM 125KG/DEGRAUS FF/REJUNTAMENTOANEIS/           REVEST LISO CALHA INTERNA C/ARG CIM/AREIA 1:4. BASE/BANQUETA          EM CONCR FCK=10MPA</v>
          </cell>
          <cell r="C1067" t="str">
            <v>UN</v>
          </cell>
          <cell r="D1067">
            <v>2120.59</v>
          </cell>
        </row>
        <row r="1068">
          <cell r="A1068" t="str">
            <v>73963/38</v>
          </cell>
          <cell r="B1068" t="str">
            <v>POCO VISITA ESG SANIT ANEL CONC PRE-MOLD PROF=3,50M C/TAMPAO          FF TIPO MEDIO(AD)D=60CM 125KG/DEGRAUS FF/REJUNTAMENTO/ANEIS/          REVEST LISO CALHA INTERNA C/ARG CIM/AREIA 1:4. BASE/BANQUETA          EM CONCR FCK=10MPA</v>
          </cell>
          <cell r="C1068" t="str">
            <v>UN</v>
          </cell>
          <cell r="D1068">
            <v>2280.71</v>
          </cell>
        </row>
        <row r="1069">
          <cell r="A1069" t="str">
            <v>73963/39</v>
          </cell>
          <cell r="B1069" t="str">
            <v>POCO VISITA ESG SANIT ANEL CONC PRE-MOLD PROF=3,80M C/TAMPAO          FF TIPO MEDIO(AD)D=60CM 125KG/DEGRAUS FF/REJUNTAMENTO ANEIS/          REVEST LISO CALHA INTERNA C/ARG CIM/AREIA 1:4. BASE/BANQUETA          EM CONCR FCK=10MPA</v>
          </cell>
          <cell r="C1069" t="str">
            <v>UN</v>
          </cell>
          <cell r="D1069">
            <v>2440.6799999999998</v>
          </cell>
        </row>
        <row r="1070">
          <cell r="A1070" t="str">
            <v>73963/40</v>
          </cell>
          <cell r="B1070" t="str">
            <v>POCO VISITA ESG SANIT ANEL CONC PRE-MOLD PROF=4,10M C/TAMPAO          FF TIPO MEDIO(AD)D=60CM 125KG/DEGRAUS FF/REJUNTAMENTO ANEIS/          REVEST LISO CALHA INTERNA C/ARG CIM/AREIA 1:4. BASE/BANQUETA          EM CONCR FCK=10MPA</v>
          </cell>
          <cell r="C1070" t="str">
            <v>UN</v>
          </cell>
          <cell r="D1070">
            <v>2545.64</v>
          </cell>
        </row>
        <row r="1071">
          <cell r="A1071" t="str">
            <v>73963/41</v>
          </cell>
          <cell r="B1071" t="str">
            <v>POCO VISITA ESG SANIT ANEL CONC PRE MOLD PROF=4,40M C/TAMPAO          FF TIPO MEDIO(AD)D=60CM 125KG/DEGRAUS FF/REJUNTAMENTO ANEIS/          REVEST LISO CALHA INTERNA C/ARG CIM/AREIA 1:4. BASE/BANQUETA          EM CONCR FCK=10MPA</v>
          </cell>
          <cell r="C1071" t="str">
            <v>UN</v>
          </cell>
          <cell r="D1071">
            <v>2703.45</v>
          </cell>
        </row>
        <row r="1072">
          <cell r="A1072" t="str">
            <v>73963/42</v>
          </cell>
          <cell r="B1072" t="str">
            <v>POCO VISITA ESG SANIT ANEL CONC PRE-MOLD PROF=4,70M C/TAMPAO          FF TIPO MEDIO(AD)D=60CM 125KG/DEGRAUS FF/REJUNTAMENTO ANEIS/          REVEST LISO CALHA INTERNA C/ARG CIM/AREIA 1:4. BASE/BANQUETA          EM CONCR FCK=10MPA</v>
          </cell>
          <cell r="C1072" t="str">
            <v>UN</v>
          </cell>
          <cell r="D1072">
            <v>2816.09</v>
          </cell>
        </row>
        <row r="1073">
          <cell r="A1073" t="str">
            <v>73963/43</v>
          </cell>
          <cell r="B1073" t="str">
            <v>POCO VISITA ESG SANIT ANEL CONC PRE-MOLD PROF=5,00M C/TAMPAO          FF TIPO MEDIO(AD)D=60CM 125KG/DEGRAUS FF/REJUNTAMENTO ANEIS/          REVEST LISO CALHA INTERNA C/ARG CIM/AREIA 1:4. BASE/BANQUETA          EM CONCR FCK=10MPA</v>
          </cell>
          <cell r="C1073" t="str">
            <v>UN</v>
          </cell>
          <cell r="D1073">
            <v>2952.18</v>
          </cell>
        </row>
        <row r="1074">
          <cell r="A1074" t="str">
            <v>73963/44</v>
          </cell>
          <cell r="B1074" t="str">
            <v>POCO VISITA ESG SANIT ANEL CONC PRE-MOLD PROF=0,80M C/TAMPAO          FF TIPO MEDIO(AD)D=60CM 125KG/DEGRAUS FF/REJUNTAMENTO ANEIS/          REVEST LISO CALHA INTERNA C/ARG CIM/AREIA 1:4. BASE/BANQUETA          EM CONCR FCK=10MPA</v>
          </cell>
          <cell r="C1074" t="str">
            <v>UN</v>
          </cell>
          <cell r="D1074">
            <v>617.6</v>
          </cell>
        </row>
        <row r="1075">
          <cell r="A1075" t="str">
            <v>73963/45</v>
          </cell>
          <cell r="B1075" t="str">
            <v>POCO DE VISITA PARA REDE DE ESG. SANIT., EM ANEIS DE CONCRETO, DIÂMETRO = 60CM E 110CM, PROF = 240CM, INCLUINDO DEGRAU, EXCLUINDO TAMPAO FERRO FUNDIDO.</v>
          </cell>
          <cell r="C1075" t="str">
            <v>UN</v>
          </cell>
          <cell r="D1075">
            <v>1445.06</v>
          </cell>
        </row>
        <row r="1076">
          <cell r="A1076" t="str">
            <v>73963/46</v>
          </cell>
          <cell r="B1076" t="str">
            <v>POCO DE VISITA PARA REDE DE ESG. SANIT., EM ANEIS DE CONCRETO, DIÂMETRO = 60CM E 110CM, PROF = 250CM, INCLUINDO DEGRAU, EXCLUINDO TAMPAO FERRO FUNDIDO.</v>
          </cell>
          <cell r="C1076" t="str">
            <v>UN</v>
          </cell>
          <cell r="D1076">
            <v>1489.04</v>
          </cell>
        </row>
        <row r="1077">
          <cell r="A1077" t="str">
            <v>73963/47</v>
          </cell>
          <cell r="B1077" t="str">
            <v>POCO DE VISITA PARA REDE DE ESG. SANIT., EM ANEIS DE CONCRETO, DIÂMETRO = 60CM E 110CM, PROF = 280CM, INCLUINDO DEGRAU, EXCLUINDO TAMPAO FERRO FUNDIDO.</v>
          </cell>
          <cell r="C1077" t="str">
            <v>UN</v>
          </cell>
          <cell r="D1077">
            <v>1648.33</v>
          </cell>
        </row>
        <row r="1078">
          <cell r="A1078" t="str">
            <v>73963/48</v>
          </cell>
          <cell r="B1078" t="str">
            <v>POCO DE VISITA PARA REDE DE ESG. SANIT., EM ANEIS DE CONCRETO, DIÂMETRO = 60CM E 110CM, PROF = 310CM, INCLUINDO DEGRAU, EXCLUINDO TAMPAO FERRO FUNDIDO.</v>
          </cell>
          <cell r="C1078" t="str">
            <v>UN</v>
          </cell>
          <cell r="D1078">
            <v>1766.36</v>
          </cell>
        </row>
        <row r="1079">
          <cell r="A1079" t="str">
            <v>74124/1</v>
          </cell>
          <cell r="B1079" t="str">
            <v>POCO VISITA AG PLUV:CONC ARM 1X1X1,40M COLETOR D=40 A 50CM            PAREDE E=15CM BASE CONC FCK=10MPA REVEST C/ARG CIM/AREIA 1:4          DEGRAUS FF INCL FORN TODOS MATERIAIS</v>
          </cell>
          <cell r="C1079" t="str">
            <v>UN</v>
          </cell>
          <cell r="D1079">
            <v>1331.01</v>
          </cell>
        </row>
        <row r="1080">
          <cell r="A1080" t="str">
            <v>74124/2</v>
          </cell>
          <cell r="B1080" t="str">
            <v>POCO VISITA AG PLUV:CONC ARM 1,10X1,10X1,40M COLETOR D=60CM           PAREDE E=15CM BASE CONC FCK=10MPA REVEST C/ARG CIM/AREIA 1:4          DEGRAUS FF INCL FORN TODOS MATERIAIS</v>
          </cell>
          <cell r="C1080" t="str">
            <v>UN</v>
          </cell>
          <cell r="D1080">
            <v>1541.22</v>
          </cell>
        </row>
        <row r="1081">
          <cell r="A1081" t="str">
            <v>74124/3</v>
          </cell>
          <cell r="B1081" t="str">
            <v>POCO VISITA AG PLUV:CONC ARM 1,20X1,20X1,40M COLETOR D=70CM           PAREDE E=15CM BASE CONC FCK=10MPA REVEST C/ARG CIM/AREIA 1:4          DEGRAUS FF INCL FORN TODOS MATERIAIS</v>
          </cell>
          <cell r="C1081" t="str">
            <v>UN</v>
          </cell>
          <cell r="D1081">
            <v>1665.34</v>
          </cell>
        </row>
        <row r="1082">
          <cell r="A1082" t="str">
            <v>74124/4</v>
          </cell>
          <cell r="B1082" t="str">
            <v>POCO VISITA AG PLUV:CONC ARM 1,30X1,30X1,40M COLETOR D=80CM           PAREDE E=15CM BASE CONC FCK=10MPA REVEST C/ARG CIM/AREIA 1:4          DEGRAUS FF INCL FORN TODOS MATERIAIS</v>
          </cell>
          <cell r="C1082" t="str">
            <v>UN</v>
          </cell>
          <cell r="D1082">
            <v>1859.51</v>
          </cell>
        </row>
        <row r="1083">
          <cell r="A1083" t="str">
            <v>74124/5</v>
          </cell>
          <cell r="B1083" t="str">
            <v>POCO VISITA CONCRETO ARMADO P/AG PLUV 1,40X1,40X1,50M COLETOR D=90CM  PAREDE E=15CM BASE CONCRETO FCK=10MPA REVESTIDO C/ARG CIM/AREIA 1:4   DEGRAUS FF INCL FORN TODOS MATERIAIS</v>
          </cell>
          <cell r="C1083" t="str">
            <v>UN</v>
          </cell>
          <cell r="D1083">
            <v>2190.7399999999998</v>
          </cell>
        </row>
        <row r="1084">
          <cell r="A1084" t="str">
            <v>74124/6</v>
          </cell>
          <cell r="B1084" t="str">
            <v>POCO VISITA AG PLUV:CONC ARM 1,50X1,50X1,60M COLETOR D=1M PA          REDE E=15CM BASE CONC FCK=10MPA REVEST C/ARG CIM/AREIA 1:4            DEGRAUS FF INCL FORN TODOS MATERIAIS</v>
          </cell>
          <cell r="C1084" t="str">
            <v>UN</v>
          </cell>
          <cell r="D1084">
            <v>2402.56</v>
          </cell>
        </row>
        <row r="1085">
          <cell r="A1085" t="str">
            <v>74124/7</v>
          </cell>
          <cell r="B1085" t="str">
            <v>POCO VISITA AG PLUV:CONC ARM 1,60X1,60X1,70M COLETOR D=1,10M          PAREDE E=15CM BASE CONC FCK=10MPA REVEST C/ARG CIM/AREIA 1:4          DEGRAUS FF INCL FORN TODOS MATERIAIS</v>
          </cell>
          <cell r="C1085" t="str">
            <v>UN</v>
          </cell>
          <cell r="D1085">
            <v>2607.25</v>
          </cell>
        </row>
        <row r="1086">
          <cell r="A1086" t="str">
            <v>74124/8</v>
          </cell>
          <cell r="B1086" t="str">
            <v>POCO VISITA AG PLUV:CONC ARM 1,70X1,70X1,80M COLETOR D=1,20M          PAREDE E=15CM BASE CONC FCK=10MPA REVEST C/ARG CIM/AREIA 1:4          DEGRAUS FF INCL FORN TODOS MATERIAIS</v>
          </cell>
          <cell r="C1086" t="str">
            <v>UN</v>
          </cell>
          <cell r="D1086">
            <v>2827.71</v>
          </cell>
        </row>
        <row r="1087">
          <cell r="A1087" t="str">
            <v>74162/1</v>
          </cell>
          <cell r="B1087" t="str">
            <v>CAIXA DE CONCRETO, ALTURA = 1,00 METRO, DIAMETRO REGISTRO &lt; 150 MM</v>
          </cell>
          <cell r="C1087" t="str">
            <v>UN</v>
          </cell>
          <cell r="D1087">
            <v>69.3</v>
          </cell>
        </row>
        <row r="1088">
          <cell r="A1088" t="str">
            <v>74206/1</v>
          </cell>
          <cell r="B1088" t="str">
            <v>CAIXA COLETORA, 1,20X1,20X1,50M, COM FUNDO E TAMPA DE CONCRETO E PAREDES EM ALVENARIA</v>
          </cell>
          <cell r="C1088" t="str">
            <v>UN</v>
          </cell>
          <cell r="D1088">
            <v>1028.9100000000001</v>
          </cell>
        </row>
        <row r="1089">
          <cell r="A1089" t="str">
            <v>74206/2</v>
          </cell>
          <cell r="B1089" t="str">
            <v>CAIXA COLETORA, 0,25 X 0,85 X 1,00 M, COM FUNDO E TAMPA DE CONCRETO E PAREDES EM ALVENARIA</v>
          </cell>
          <cell r="C1089" t="str">
            <v>UN</v>
          </cell>
          <cell r="D1089">
            <v>539.07000000000005</v>
          </cell>
        </row>
        <row r="1090">
          <cell r="A1090" t="str">
            <v>74212/1</v>
          </cell>
          <cell r="B1090" t="str">
            <v>POCO DE VISITA PARA REDE DE ESGOTO SANITARIO, EM ALVENARIA, DIAMETRO = 60 CM, PROF 160 CM, INCLUINDO TAMPAO FERRO FUNDIDO</v>
          </cell>
          <cell r="C1090" t="str">
            <v>UN</v>
          </cell>
          <cell r="D1090">
            <v>2508.61</v>
          </cell>
        </row>
        <row r="1091">
          <cell r="A1091" t="str">
            <v>74214/1</v>
          </cell>
          <cell r="B1091" t="str">
            <v>POCO DE VISITA PARA REDE DE ESGOTO SANITÁRIO, EM ALVENARIA, DIAMETRO 120 CM, PROF ATE 200 CM, INCLUINDO TAMPAO FERRO FUNDIDO</v>
          </cell>
          <cell r="C1091" t="str">
            <v>UN</v>
          </cell>
          <cell r="D1091">
            <v>4030.36</v>
          </cell>
        </row>
        <row r="1092">
          <cell r="A1092" t="str">
            <v>74214/2</v>
          </cell>
          <cell r="B1092" t="str">
            <v>POCO DE VISITA PARA REDE DE ESGOTO SANITÁRIO, EM ALVENARIA, DIAMETRO 120 CM, PROF ATE 400 CM, INCLUINDO TAMPAO FERRO FUNDIDO</v>
          </cell>
          <cell r="C1092" t="str">
            <v>UN</v>
          </cell>
          <cell r="D1092">
            <v>5895.6</v>
          </cell>
        </row>
        <row r="1093">
          <cell r="A1093" t="str">
            <v>74224/1</v>
          </cell>
          <cell r="B1093" t="str">
            <v>POCO DE VISITA PARA DRENAGEM PLUVIAL, EM CONCRETO ESTRUTURAL, DIMENSOES INTERNAS DE 90X150X80CM (LARGXCOMPXALT), PARA REDE DE 600 MM, EXCLUSOS TAMPAO E CHAMINE.</v>
          </cell>
          <cell r="C1093" t="str">
            <v>UN</v>
          </cell>
          <cell r="D1093">
            <v>960.57</v>
          </cell>
        </row>
        <row r="1094">
          <cell r="A1094">
            <v>83621</v>
          </cell>
          <cell r="B1094" t="str">
            <v>ASSENTAMENTO TAMPAO FERRO FUNDIDO (FOFO), 30 X 90 CM PARA CAIXA DE RALO, C/ ARG CIM/AREIA 1:4 EM VOLUME, EXCLUSIVE TAMPAO.</v>
          </cell>
          <cell r="C1094" t="str">
            <v>UN</v>
          </cell>
          <cell r="D1094">
            <v>55.02</v>
          </cell>
        </row>
        <row r="1095">
          <cell r="A1095">
            <v>83659</v>
          </cell>
          <cell r="B1095" t="str">
            <v>BOCA DE LOBO EM ALVENARIA TIJOLO MACICO, REVESTIDA C/ ARGAMASSA DE CIMENTO E AREIA 1:3, SOBRE LASTRO DE CONCRETO 10CM E TAMPA DE CONCRETO ARMADO</v>
          </cell>
          <cell r="C1095" t="str">
            <v>UN</v>
          </cell>
          <cell r="D1095">
            <v>527.76</v>
          </cell>
        </row>
        <row r="1096">
          <cell r="A1096">
            <v>83691</v>
          </cell>
          <cell r="B1096" t="str">
            <v>TAMPAO FERRO FUNDIDO P/ POCO DE VISITA, 79,5 KG, TIPO T-100 - FORNECIMENTO E INSTALACAO</v>
          </cell>
          <cell r="C1096" t="str">
            <v>UN</v>
          </cell>
          <cell r="D1096">
            <v>268.83999999999997</v>
          </cell>
        </row>
        <row r="1097">
          <cell r="A1097">
            <v>83692</v>
          </cell>
          <cell r="B1097" t="str">
            <v>TAMPAO FERRO FUNDIDO P/ POCO DE VISITA, 175 KG, TIPO T-170 - FORNECIMENTO E INSTALACAO</v>
          </cell>
          <cell r="C1097" t="str">
            <v>UN</v>
          </cell>
          <cell r="D1097">
            <v>512.70000000000005</v>
          </cell>
        </row>
        <row r="1098">
          <cell r="A1098">
            <v>83708</v>
          </cell>
          <cell r="B1098" t="str">
            <v>POCO DE VISITA EM ALVENARIA, PARA REDE D=0,40 M, PARTE FIXA C/ 1,00 M DE ALTURA</v>
          </cell>
          <cell r="C1098" t="str">
            <v>UN</v>
          </cell>
          <cell r="D1098">
            <v>858.56</v>
          </cell>
        </row>
        <row r="1099">
          <cell r="A1099">
            <v>83709</v>
          </cell>
          <cell r="B1099" t="str">
            <v>POCO DE VISITA EM ALVENARIA, PARA REDE D=0,60 M, PARTE FIXA C/ 1,00 M DE ALTURA</v>
          </cell>
          <cell r="C1099" t="str">
            <v>UN</v>
          </cell>
          <cell r="D1099">
            <v>1095.31</v>
          </cell>
        </row>
        <row r="1100">
          <cell r="A1100">
            <v>83710</v>
          </cell>
          <cell r="B1100" t="str">
            <v>POCO DE VISITA EM ALVENARIA, PARA REDE D=0,80 M, PARTE FIXA C/ 1,00 M DE ALTURA</v>
          </cell>
          <cell r="C1100" t="str">
            <v>UN</v>
          </cell>
          <cell r="D1100">
            <v>2314.27</v>
          </cell>
        </row>
        <row r="1101">
          <cell r="A1101">
            <v>83711</v>
          </cell>
          <cell r="B1101" t="str">
            <v>POÇO DE VISITA EM ALVENARIA, PARA REDE D=1,00 M, PARTE FIXA C/ 1,00 M DE ALTURA E USO DE RETROESCAVADEIRA</v>
          </cell>
          <cell r="C1101" t="str">
            <v>UN</v>
          </cell>
          <cell r="D1101">
            <v>2690.28</v>
          </cell>
        </row>
        <row r="1102">
          <cell r="A1102">
            <v>83712</v>
          </cell>
          <cell r="B1102" t="str">
            <v>POCO DE VISITA EM ALVENARIA, PARA REDE D=1,20 M, PARTE FIXA C/ 1,00 M DE ALTURA E USO DE ESCAVADEIRA HIDRAULICA</v>
          </cell>
          <cell r="C1102" t="str">
            <v>UN</v>
          </cell>
          <cell r="D1102">
            <v>3505.11</v>
          </cell>
        </row>
        <row r="1103">
          <cell r="A1103">
            <v>83713</v>
          </cell>
          <cell r="B1103" t="str">
            <v>POCO DE VISITA EM ALVENARIA, PARA REDE D=1,50 M, PARTE FIXA C/ 1,00 M DE ALTURA E USO DE ESCAVADEIRA HIDRAULICA</v>
          </cell>
          <cell r="C1103" t="str">
            <v>UN</v>
          </cell>
          <cell r="D1103">
            <v>4272.46</v>
          </cell>
        </row>
        <row r="1104">
          <cell r="A1104">
            <v>83714</v>
          </cell>
          <cell r="B1104" t="str">
            <v>ACRESCIMO NA ALTURA DO POCO DE VISITA EM ALVENARIA PARA REDE D=0,40 M</v>
          </cell>
          <cell r="C1104" t="str">
            <v>M</v>
          </cell>
          <cell r="D1104">
            <v>472.66</v>
          </cell>
        </row>
        <row r="1105">
          <cell r="A1105">
            <v>83715</v>
          </cell>
          <cell r="B1105" t="str">
            <v>CHAMINE P/ POCO DE VISITA EM ALVENARIA, EXCLUSOS TAMPAO E ANEL</v>
          </cell>
          <cell r="C1105" t="str">
            <v>M</v>
          </cell>
          <cell r="D1105">
            <v>334.47</v>
          </cell>
        </row>
        <row r="1106">
          <cell r="A1106">
            <v>83716</v>
          </cell>
          <cell r="B1106" t="str">
            <v>GRELHA FF 30X90CM, 135KG, P/ CX RALO COM ASSENTAMENTO DE ARGAMASSA CIMENTO/AREIA 1:4 - FORNECIMENTO E INSTALAÇÃO</v>
          </cell>
          <cell r="C1106" t="str">
            <v>UN</v>
          </cell>
          <cell r="D1106">
            <v>395.19</v>
          </cell>
        </row>
        <row r="1107">
          <cell r="A1107" t="str">
            <v>73763/1</v>
          </cell>
          <cell r="B1107" t="str">
            <v>MEIO-FIO E SARJETA DE CONCRETO MOLDADO NO LOCAL, USINADO 15 MPA, COM 0,65 M BASE X 0,30 M ALTURA, REJUNTE EM ARGAMASSA TRACO 1:3,5 (CIMENTO E AREIA)</v>
          </cell>
          <cell r="C1107" t="str">
            <v>M</v>
          </cell>
          <cell r="D1107">
            <v>73.37</v>
          </cell>
        </row>
        <row r="1108">
          <cell r="A1108" t="str">
            <v>73763/2</v>
          </cell>
          <cell r="B1108" t="str">
            <v>MEIO-FIO E SARJETA DE CONCRETO MOLDADO NO LOCAL, USINADO 15 MPA, COM 0,45 M BASE X 0,30 M ALTURA, REJUNTE EM ARGAMASSA TRACO 1:3,5 (CIMENTO E AREIA)</v>
          </cell>
          <cell r="C1108" t="str">
            <v>M</v>
          </cell>
          <cell r="D1108">
            <v>57.72</v>
          </cell>
        </row>
        <row r="1109">
          <cell r="A1109" t="str">
            <v>73763/3</v>
          </cell>
          <cell r="B1109" t="str">
            <v>MEIO-FIO E SARJETA CONJUGADOS DE CONCRETO 15 MPA, 47 CM BASE X 30 CM ALTURA, MOLDADO "IN LOCO" COM EXTRUSORA</v>
          </cell>
          <cell r="C1109" t="str">
            <v>M</v>
          </cell>
          <cell r="D1109">
            <v>30.26</v>
          </cell>
        </row>
        <row r="1110">
          <cell r="A1110" t="str">
            <v>73763/4</v>
          </cell>
          <cell r="B1110" t="str">
            <v>MEIO-FIO E SARJETA CONJUGADOS DE CONCRETO 15 MPA, 35 CM BASE X 30 CM ALTURA, MOLDADO "IN LOCO" COM EXTRUSORA</v>
          </cell>
          <cell r="C1110" t="str">
            <v>M</v>
          </cell>
          <cell r="D1110">
            <v>25.36</v>
          </cell>
        </row>
        <row r="1111">
          <cell r="A1111" t="str">
            <v>73763/5</v>
          </cell>
          <cell r="B1111" t="str">
            <v>MEIO-FIO E SARJETA CONJUGADOS DE CONCRETO 15 MPA, 30 CM BASE X 26 CM ALTURA, MOLDADO "IN LOCO" COM EXTRUSORA</v>
          </cell>
          <cell r="C1111" t="str">
            <v>M</v>
          </cell>
          <cell r="D1111">
            <v>18.5</v>
          </cell>
        </row>
        <row r="1112">
          <cell r="A1112" t="str">
            <v>73789/1</v>
          </cell>
          <cell r="B1112" t="str">
            <v>MEIO-FIO DE CONCRETO MOLDADO NO LOCAL, USINADO 15 MPA, COM 0,45 M ALTURA X 0,15 M BASE, REJUNTE EM ARGAMASSA TRACO 1:3,5 (CIMENTO E AREIA)</v>
          </cell>
          <cell r="C1112" t="str">
            <v>M</v>
          </cell>
          <cell r="D1112">
            <v>58.53</v>
          </cell>
        </row>
        <row r="1113">
          <cell r="A1113" t="str">
            <v>73789/2</v>
          </cell>
          <cell r="B1113" t="str">
            <v>MEIO-FIO DE CONCRETO MOLDADO NO LOCAL, USINADO 15 MPA, COM 0,30 M ALTURA X 0,15 M BASE, REJUNTE EM ARGAMASSA TRACO 1:3,5 (CIMENTO E AREIA)</v>
          </cell>
          <cell r="C1113" t="str">
            <v>M</v>
          </cell>
          <cell r="D1113">
            <v>39.94</v>
          </cell>
        </row>
        <row r="1114">
          <cell r="A1114" t="str">
            <v>74012/1</v>
          </cell>
          <cell r="B1114" t="str">
            <v>SARJETA EM CONCRETO, PREPARO MANUAL, COM SEIXO ROLADO, ESPESSURA = 8CM, LARGURA  = 40CM.</v>
          </cell>
          <cell r="C1114" t="str">
            <v>M</v>
          </cell>
          <cell r="D1114">
            <v>29.06</v>
          </cell>
        </row>
        <row r="1115">
          <cell r="A1115" t="str">
            <v>74208/1</v>
          </cell>
          <cell r="B1115" t="str">
            <v>CONSTRUCAO DE MEIO-FIO DE PEDRAS GRANITICAS, REJUNTADO C/ ARGAMASSA DECIMENTO E AREIA 1:2 E LINHA D AGUA DE PARALELEPIPEDOS,ASSENTADOS SOBREMISTURA DE CIMENTO E AREIA 1:6, C/ 6,0 CM DE ESPESSURA E REJUNTADOS C/ARGAMASSA DE CIMENTO E AREIA 1:2, INCLUSIV</v>
          </cell>
          <cell r="C1115" t="str">
            <v>M</v>
          </cell>
          <cell r="D1115">
            <v>62.3</v>
          </cell>
        </row>
        <row r="1116">
          <cell r="A1116" t="str">
            <v>74211/1</v>
          </cell>
          <cell r="B1116" t="str">
            <v>LINHA D AGUA EM PARALELEPIPEDOS GRANITICOS, REJUNTADOS C/ AR          CIMENTO E AREIA TRACO 1:3</v>
          </cell>
          <cell r="C1116" t="str">
            <v>M</v>
          </cell>
          <cell r="D1116">
            <v>28.53</v>
          </cell>
        </row>
        <row r="1117">
          <cell r="A1117" t="str">
            <v>74223/1</v>
          </cell>
          <cell r="B1117" t="str">
            <v>MEIO-FIO (GUIA) DE CONCRETO PRE-MOLDADO, DIMENSÕES 12X15X30X100CM (FACE SUPERIORXFACE INFERIORXALTURAXCOMPRIMENTO),REJUNTADO C/ARGAMASSA 1:4 CIMENTO:AREIA, INCLUINDO ESCAVAÇÃO E REATERRO.</v>
          </cell>
          <cell r="C1117" t="str">
            <v>M</v>
          </cell>
          <cell r="D1117">
            <v>33.869999999999997</v>
          </cell>
        </row>
        <row r="1118">
          <cell r="A1118" t="str">
            <v>74223/2</v>
          </cell>
          <cell r="B1118" t="str">
            <v>MEIO-FIO EM PEDRA GRANITICA, REJUNTADO C/ARGAMASSA CIMENTO E AREIA 1:3</v>
          </cell>
          <cell r="C1118" t="str">
            <v>M</v>
          </cell>
          <cell r="D1118">
            <v>32.299999999999997</v>
          </cell>
        </row>
        <row r="1119">
          <cell r="A1119" t="str">
            <v>74237/1</v>
          </cell>
          <cell r="B1119" t="str">
            <v>MEIO-FIO COM SARJETA, EXECUTADO C/EXTRUSORA (SARJETA 30X8CM           MEIO-FIO 15X10CM X H=23CM), INCLUI ESC.E ACERTO FAIXA 0,45M</v>
          </cell>
          <cell r="C1119" t="str">
            <v>M</v>
          </cell>
          <cell r="D1119">
            <v>22.16</v>
          </cell>
        </row>
        <row r="1120">
          <cell r="A1120">
            <v>79895</v>
          </cell>
          <cell r="B1120" t="str">
            <v>LOCACAO DE EXTRUSORA DE GUIAS E SARJETAS SEM FORMAS, MOTOR DIESEL DE 14CV, EXCLUSIVE OPERADOR (CP)</v>
          </cell>
          <cell r="C1120" t="str">
            <v>H</v>
          </cell>
          <cell r="D1120">
            <v>12.8</v>
          </cell>
        </row>
        <row r="1121">
          <cell r="A1121">
            <v>83717</v>
          </cell>
          <cell r="B1121" t="str">
            <v>ASSENTAMENTO DE MEIO FIO PREMOLDADO, INCLUINDO ESCAVACAO</v>
          </cell>
          <cell r="C1121" t="str">
            <v>M</v>
          </cell>
          <cell r="D1121">
            <v>10.5</v>
          </cell>
        </row>
        <row r="1122">
          <cell r="A1122">
            <v>83718</v>
          </cell>
          <cell r="B1122" t="str">
            <v>ESCORAMENTO DE MEIO FIO COM MATERIAL LOCAL COMPACTADO MANUALMENTE, EM FAIXA DE 0,50M</v>
          </cell>
          <cell r="C1122" t="str">
            <v>M</v>
          </cell>
          <cell r="D1122">
            <v>2.1</v>
          </cell>
        </row>
        <row r="1123">
          <cell r="A1123">
            <v>83719</v>
          </cell>
          <cell r="B1123" t="str">
            <v>SARJETA CORTE EM TALUDES TRIANG 1,25X0,25M ESP=0,08 REV CONC SIMPLES INCL ESCAVACAO MEC ACERTO MANUAL TERRENO FORNEC MAT E REJUNTAMENTO</v>
          </cell>
          <cell r="C1123" t="str">
            <v>M</v>
          </cell>
          <cell r="D1123">
            <v>51.77</v>
          </cell>
        </row>
        <row r="1124">
          <cell r="A1124">
            <v>83720</v>
          </cell>
          <cell r="B1124" t="str">
            <v>SARJETA CORTE EM TALUDES TRIANG 1,50X0,30M, ESP=0,08 M REV.CONC. SIMPLES INCL ESCAVACAO MEC ACERTO MANUAL TERRENO FORNEC MAT E REJUNTAMENTO</v>
          </cell>
          <cell r="C1124" t="str">
            <v>M</v>
          </cell>
          <cell r="D1124">
            <v>61.32</v>
          </cell>
        </row>
        <row r="1125">
          <cell r="A1125">
            <v>83721</v>
          </cell>
          <cell r="B1125" t="str">
            <v>SARJETA CORTE TALUDES TRIANG 1,85X0,35M ESP=0,08 REV CONC. SIMPLES INCL ESCAVACAO MEC ACERTO MANUAL TERRENO FORNEC MAT E REJUNTAMENTO</v>
          </cell>
          <cell r="C1125" t="str">
            <v>M</v>
          </cell>
          <cell r="D1125">
            <v>75.040000000000006</v>
          </cell>
        </row>
        <row r="1126">
          <cell r="A1126">
            <v>83722</v>
          </cell>
          <cell r="B1126" t="str">
            <v>VALETA PROT DE CORTE TRAPEZOIDAL 0,80X2,00X0,60M ESP=0,08 CONCR SIMPLES INCL ESCAVACAO MEC ACERTO MANUAL TERRENO FORNEC MAT E REJUNTAMENTO</v>
          </cell>
          <cell r="C1126" t="str">
            <v>M</v>
          </cell>
          <cell r="D1126">
            <v>143.22</v>
          </cell>
        </row>
        <row r="1127">
          <cell r="A1127">
            <v>83723</v>
          </cell>
          <cell r="B1127" t="str">
            <v>VALETA PROT DE CORTE TRAPEZOIDAL 1,00X2,20X0,60M ESP=0,08M CONCR SIMPLES INCL ESCAVACAO MEC ATERRO MANUAL TERRENO FORNEC MAT E REJUNTAMENTO</v>
          </cell>
          <cell r="C1127" t="str">
            <v>M</v>
          </cell>
          <cell r="D1127">
            <v>149.71</v>
          </cell>
        </row>
        <row r="1128">
          <cell r="A1128">
            <v>83769</v>
          </cell>
          <cell r="B1128" t="str">
            <v>ESCORAMENTO DE MADEIRA EM VALAS, TIPO PONTALETEAMENTO</v>
          </cell>
          <cell r="C1128" t="str">
            <v>M2</v>
          </cell>
          <cell r="D1128">
            <v>6.79</v>
          </cell>
        </row>
        <row r="1129">
          <cell r="A1129">
            <v>83867</v>
          </cell>
          <cell r="B1129" t="str">
            <v>ESCORAMENTO DE VALAS DESCONTINUO</v>
          </cell>
          <cell r="C1129" t="str">
            <v>M2</v>
          </cell>
          <cell r="D1129">
            <v>28.74</v>
          </cell>
        </row>
        <row r="1130">
          <cell r="A1130">
            <v>83868</v>
          </cell>
          <cell r="B1130" t="str">
            <v>ESCORAMENTO DE VALAS CONTINUO</v>
          </cell>
          <cell r="C1130" t="str">
            <v>M2</v>
          </cell>
          <cell r="D1130">
            <v>40.96</v>
          </cell>
        </row>
        <row r="1131">
          <cell r="A1131" t="str">
            <v>73877/1</v>
          </cell>
          <cell r="B1131" t="str">
            <v>ESCORAMENTO DE VALAS COM PRANCHOES METALICOS - AREA CRAVADA</v>
          </cell>
          <cell r="C1131" t="str">
            <v>M2</v>
          </cell>
          <cell r="D1131">
            <v>40.72</v>
          </cell>
        </row>
        <row r="1132">
          <cell r="A1132" t="str">
            <v>73877/2</v>
          </cell>
          <cell r="B1132" t="str">
            <v>ESCORAMENTO DE VALAS COM PRANCHOES METALICOS - AREA NAO CRAVADA</v>
          </cell>
          <cell r="C1132" t="str">
            <v>M2</v>
          </cell>
          <cell r="D1132">
            <v>27.09</v>
          </cell>
        </row>
        <row r="1133">
          <cell r="A1133">
            <v>83770</v>
          </cell>
          <cell r="B1133" t="str">
            <v>ESCORAMENTO CONTINUO DE VALAS, MISTO, COM PERFIL I DE 8"</v>
          </cell>
          <cell r="C1133" t="str">
            <v>M2</v>
          </cell>
          <cell r="D1133">
            <v>90.24</v>
          </cell>
        </row>
        <row r="1134">
          <cell r="A1134">
            <v>73301</v>
          </cell>
          <cell r="B1134" t="str">
            <v>ESCORAMENTO FORMAS ATE H = 3,30M, COM MADEIRA DE 3A QUALIDADE, NAO APARELHADA, APROVEITAMENTO TABUAS 3X E PRUMOS 4X.</v>
          </cell>
          <cell r="C1134" t="str">
            <v>M3</v>
          </cell>
          <cell r="D1134">
            <v>7.03</v>
          </cell>
        </row>
        <row r="1135">
          <cell r="A1135">
            <v>7100</v>
          </cell>
          <cell r="B1135" t="str">
            <v>LAMINADO MELAMINICO TEXTURIZADO, ESPESSURA 1,3MM, PARA REVESTIMENTO DE CHAPA COMPENSADA DE MADEIRA, FIXADA COM COLA</v>
          </cell>
          <cell r="C1135" t="str">
            <v>M2</v>
          </cell>
          <cell r="D1135">
            <v>34.450000000000003</v>
          </cell>
        </row>
        <row r="1136">
          <cell r="A1136">
            <v>7101</v>
          </cell>
          <cell r="B1136" t="str">
            <v>LAMINADO MELAMINICO LISO E FOSCO, PARA REVESTIMENTO DE CHAPA COMPENSADA DE MADEIRA, ESPESSURA 1,3MM, FIXADO COM COLA</v>
          </cell>
          <cell r="C1136" t="str">
            <v>M2</v>
          </cell>
          <cell r="D1136">
            <v>35.119999999999997</v>
          </cell>
        </row>
        <row r="1137">
          <cell r="A1137">
            <v>72142</v>
          </cell>
          <cell r="B1137" t="str">
            <v>RETIRADA DE FOLHAS DE PORTA DE PASSAGEM OU JANELA</v>
          </cell>
          <cell r="C1137" t="str">
            <v>UN</v>
          </cell>
          <cell r="D1137">
            <v>5.49</v>
          </cell>
        </row>
        <row r="1138">
          <cell r="A1138">
            <v>72143</v>
          </cell>
          <cell r="B1138" t="str">
            <v>RETIRADA DE BATENTES DE MADEIRA</v>
          </cell>
          <cell r="C1138" t="str">
            <v>UN</v>
          </cell>
          <cell r="D1138">
            <v>26.55</v>
          </cell>
        </row>
        <row r="1139">
          <cell r="A1139">
            <v>72144</v>
          </cell>
          <cell r="B1139" t="str">
            <v>RECOLOCACAO DE FOLHAS DE PORTA DE PASSAGEM OU JANELA, CONSIDERANDO REAPROVEITAMENTO DO MATERIAL</v>
          </cell>
          <cell r="C1139" t="str">
            <v>UN</v>
          </cell>
          <cell r="D1139">
            <v>44.32</v>
          </cell>
        </row>
        <row r="1140">
          <cell r="A1140">
            <v>72146</v>
          </cell>
          <cell r="B1140" t="str">
            <v>RECOLOCACAO DE BATENTES DE MADEIRA, CONSIDERANDO REAPROVEITAMENTO DE MATERIAL</v>
          </cell>
          <cell r="C1140" t="str">
            <v>UN</v>
          </cell>
          <cell r="D1140">
            <v>27.52</v>
          </cell>
        </row>
        <row r="1141">
          <cell r="A1141" t="str">
            <v>73880/2</v>
          </cell>
          <cell r="B1141" t="str">
            <v>PORTA DE MADEIRA ALMOFADADA SEMI-OCA 1A, 80X210X3CM, INCLUSO ADUELA 2A, ALIZAR 2A E DOBRADICAS</v>
          </cell>
          <cell r="C1141" t="str">
            <v>UN</v>
          </cell>
          <cell r="D1141">
            <v>527.74</v>
          </cell>
        </row>
        <row r="1142">
          <cell r="A1142" t="str">
            <v>73905/1</v>
          </cell>
          <cell r="B1142" t="str">
            <v>BANDEIRA EM MADEIRA 1A, 40X60CM, FIXA, SEM ADUELA E ALIZAR, PARA VIDRO</v>
          </cell>
          <cell r="C1142" t="str">
            <v>UN</v>
          </cell>
          <cell r="D1142">
            <v>57.94</v>
          </cell>
        </row>
        <row r="1143">
          <cell r="A1143" t="str">
            <v>73905/2</v>
          </cell>
          <cell r="B1143" t="str">
            <v>BANDEIRA EM MADEIRA 2A, 40X60CM, FIXA, SEM ADUELA E ALIZAR, PARA VIDRO</v>
          </cell>
          <cell r="C1143" t="str">
            <v>UN</v>
          </cell>
          <cell r="D1143">
            <v>47.03</v>
          </cell>
        </row>
        <row r="1144">
          <cell r="A1144" t="str">
            <v>73906/1</v>
          </cell>
          <cell r="B1144" t="str">
            <v>PORTA DE MADEIRA TIPO VENEZIANA 1A, 70X210X3CM, INCLUSO ADUELA 1A, ALIZAR 1A E DOBRADICAS COM ANEIS</v>
          </cell>
          <cell r="C1144" t="str">
            <v>UN</v>
          </cell>
          <cell r="D1144">
            <v>598.83000000000004</v>
          </cell>
        </row>
        <row r="1145">
          <cell r="A1145" t="str">
            <v>73906/3</v>
          </cell>
          <cell r="B1145" t="str">
            <v>PORTA DE MADEIRA TIPO VENEZIANA 1A, 80X210X3CM, INCLUSO ADUELA 1A, ALIZAR 1A E DOBRADICAS COM ANEIS</v>
          </cell>
          <cell r="C1145" t="str">
            <v>UN</v>
          </cell>
          <cell r="D1145">
            <v>763.47</v>
          </cell>
        </row>
        <row r="1146">
          <cell r="A1146" t="str">
            <v>73906/4</v>
          </cell>
          <cell r="B1146" t="str">
            <v>PORTA DE MADEIRA TIPO VENEZIANA 2A, 120X210X3CM, 2 FOLHAS, INCLUSO ADUELA 1A, ALIZAR 1A E DOBRADICAS COM ANEIS</v>
          </cell>
          <cell r="C1146" t="str">
            <v>UN</v>
          </cell>
          <cell r="D1146">
            <v>1039.1500000000001</v>
          </cell>
        </row>
        <row r="1147">
          <cell r="A1147" t="str">
            <v>73906/5</v>
          </cell>
          <cell r="B1147" t="str">
            <v>PORTA DE MADEIRA TIPO VENEZIANA 2A, 140X210X3CM, 2 FOLHAS, INCLUSO ADUELA 1A, ALIZAR 1A E DOBRADICAS COM ANEIS</v>
          </cell>
          <cell r="C1147" t="str">
            <v>UN</v>
          </cell>
          <cell r="D1147">
            <v>1079.6199999999999</v>
          </cell>
        </row>
        <row r="1148">
          <cell r="A1148" t="str">
            <v>73906/6</v>
          </cell>
          <cell r="B1148" t="str">
            <v>PORTA DE MADEIRA TIPO VENEZIANA 2A, 60X210X3CM, INCLUSO ADUELA 1A, ALIZAR 1A E DOBRADICAS COM ANEIS</v>
          </cell>
          <cell r="C1148" t="str">
            <v>UN</v>
          </cell>
          <cell r="D1148">
            <v>626.89</v>
          </cell>
        </row>
        <row r="1149">
          <cell r="A1149" t="str">
            <v>73910/1</v>
          </cell>
          <cell r="B1149" t="str">
            <v>PORTA DE MADEIRA COMPENSADA LISA PARA PINTURA, 60X210X3,5CM, INCLUSO ADUELA 2A, ALIZAR 2A E DOBRADICAS</v>
          </cell>
          <cell r="C1149" t="str">
            <v>UN</v>
          </cell>
          <cell r="D1149">
            <v>263.51</v>
          </cell>
        </row>
        <row r="1150">
          <cell r="A1150" t="str">
            <v>73910/2</v>
          </cell>
          <cell r="B1150" t="str">
            <v>PORTA DE MADEIRA COMPENSADA LISA PARA CERA OU VERNIZ, 60X210CM, INCLUSO ADUELA 1A, ALIZAR 1A E DOBRADICAS COM ANEL</v>
          </cell>
          <cell r="C1150" t="str">
            <v>UN</v>
          </cell>
          <cell r="D1150">
            <v>383.76</v>
          </cell>
        </row>
        <row r="1151">
          <cell r="A1151" t="str">
            <v>73910/3</v>
          </cell>
          <cell r="B1151" t="str">
            <v>PORTA DE MADEIRA COMPENSADA LISA PARA PINTURA, 70X210X3,5CM, INCLUSO ADUELA 2A, ALIZAR 2A E DOBRADICAS</v>
          </cell>
          <cell r="C1151" t="str">
            <v>UN</v>
          </cell>
          <cell r="D1151">
            <v>266.41000000000003</v>
          </cell>
        </row>
        <row r="1152">
          <cell r="A1152" t="str">
            <v>73910/4</v>
          </cell>
          <cell r="B1152" t="str">
            <v>PORTA DE MADEIRA COMPENSADA LISA PARA CERA OU VERNIZ, 70X210CM, INCLUSO ADUELA 1A, ALIZAR 1A E DOBRADICAS COM ANEL</v>
          </cell>
          <cell r="C1152" t="str">
            <v>UN</v>
          </cell>
          <cell r="D1152">
            <v>389.3</v>
          </cell>
        </row>
        <row r="1153">
          <cell r="A1153" t="str">
            <v>73910/5</v>
          </cell>
          <cell r="B1153" t="str">
            <v>PORTA DE MADEIRA COMPENSADA LISA PARA PINTURA, 80X210X3,5CM, INCLUSO ADUELA 2A, ALIZAR 2A E DOBRADICAS</v>
          </cell>
          <cell r="C1153" t="str">
            <v>UN</v>
          </cell>
          <cell r="D1153">
            <v>269.58999999999997</v>
          </cell>
        </row>
        <row r="1154">
          <cell r="A1154" t="str">
            <v>73910/6</v>
          </cell>
          <cell r="B1154" t="str">
            <v>PORTA DE MADEIRA COMPENSADA LISA PARA CERA OU VERNIZ, 80X210X3,5CM, INCLUSO ADUELA 1A, ALIZAR 1A E DOBRADICAS COM ANEL</v>
          </cell>
          <cell r="C1154" t="str">
            <v>UN</v>
          </cell>
          <cell r="D1154">
            <v>396.13</v>
          </cell>
        </row>
        <row r="1155">
          <cell r="A1155" t="str">
            <v>73910/7</v>
          </cell>
          <cell r="B1155" t="str">
            <v>PORTA DE MADEIRA COMPENSADA LISA PARA CERA OU VERNIZ, 90X210X3,5CM, INCLUSO ADUELA 1A, ALIZAR 1A E DOBRADICAS COM ANEL</v>
          </cell>
          <cell r="C1155" t="str">
            <v>UN</v>
          </cell>
          <cell r="D1155">
            <v>411.42</v>
          </cell>
        </row>
        <row r="1156">
          <cell r="A1156" t="str">
            <v>73910/8</v>
          </cell>
          <cell r="B1156" t="str">
            <v>PORTA DE MADEIRA COMPENSADA LISA PARA PINTURA, 120X210X3,5CM, 2 FOLHAS, INCLUSO ADUELA 2A, ALIZAR 2A E DOBRADICAS</v>
          </cell>
          <cell r="C1156" t="str">
            <v>UN</v>
          </cell>
          <cell r="D1156">
            <v>389.52</v>
          </cell>
        </row>
        <row r="1157">
          <cell r="A1157" t="str">
            <v>73910/9</v>
          </cell>
          <cell r="B1157" t="str">
            <v>PORTA DE MADEIRA COMPENSADA LISA PARA CERA OU VERNIZ, 120X210X3,5CM, 2 FOLHAS, INCLUSO ADUELA 1A, ALIZAR 1A E DOBRADICAS COM ANEL</v>
          </cell>
          <cell r="C1157" t="str">
            <v>UN</v>
          </cell>
          <cell r="D1157">
            <v>550.58000000000004</v>
          </cell>
        </row>
        <row r="1158">
          <cell r="A1158" t="str">
            <v>73910/10</v>
          </cell>
          <cell r="B1158" t="str">
            <v>PORTA DE MADEIRA COMPENSADA LISA PARA PINTURA, 90X210X3,5CM, INCLUSO ADUELA 2A, ALIZAR 2A E DOBRADICAS</v>
          </cell>
          <cell r="C1158" t="str">
            <v>UN</v>
          </cell>
          <cell r="D1158">
            <v>287.58999999999997</v>
          </cell>
        </row>
        <row r="1159">
          <cell r="A1159" t="str">
            <v>73910/11</v>
          </cell>
          <cell r="B1159" t="str">
            <v>PORTA DE MADEIRA COMPENSADA LISA PARA PINTURA, 160X210X3,5CM, 2 FOLHAS, INCLUSO ADUELA 2A, ALIZAR 2A E DOBRADICAS</v>
          </cell>
          <cell r="C1159" t="str">
            <v>UN</v>
          </cell>
          <cell r="D1159">
            <v>405.06</v>
          </cell>
        </row>
        <row r="1160">
          <cell r="A1160" t="str">
            <v>73934/1</v>
          </cell>
          <cell r="B1160" t="str">
            <v>PORTA EM CHAPA DE FIBRA DE EUCALIPTO LISA PARA PINTURA, 80X210X3,5CM, INCLUSO ADUELA 2A, ALIZAR 2A E DOBRADICAS</v>
          </cell>
          <cell r="C1160" t="str">
            <v>UN</v>
          </cell>
          <cell r="D1160">
            <v>284.75</v>
          </cell>
        </row>
        <row r="1161">
          <cell r="A1161" t="str">
            <v>73934/2</v>
          </cell>
          <cell r="B1161" t="str">
            <v>PORTA EM CHAPA DE FIBRA DE EUCALIPTO LISA PARA PINTURA, 70X210X3,5CM, INCLUSO ADUELA 2A, ALIZAR 2A E DOBRADICAS</v>
          </cell>
          <cell r="C1161" t="str">
            <v>UN</v>
          </cell>
          <cell r="D1161">
            <v>328.01</v>
          </cell>
        </row>
        <row r="1162">
          <cell r="A1162" t="str">
            <v>73934/3</v>
          </cell>
          <cell r="B1162" t="str">
            <v>PORTA EM CHAPA DE FIBRA DE EUCALIPTO LISA PARA PINTURA, 60X210X3,5CM, INCLUSO ADUELA 2A, ALIZAR 2A E DOBRADICAS</v>
          </cell>
          <cell r="C1162" t="str">
            <v>UN</v>
          </cell>
          <cell r="D1162">
            <v>322.48</v>
          </cell>
        </row>
        <row r="1163">
          <cell r="A1163" t="str">
            <v>74139/1</v>
          </cell>
          <cell r="B1163" t="str">
            <v>PORTA DE MADEIRA PARA BANHEIRO, EM CHAPA DE MADEIRA COMPENSADA, REVESTIDA COM LAMINADO TEXTURIZADO, 80X160CM, INCLUSO MARCO E DOBRADICAS</v>
          </cell>
          <cell r="C1163" t="str">
            <v>UN</v>
          </cell>
          <cell r="D1163">
            <v>229.3</v>
          </cell>
        </row>
        <row r="1164">
          <cell r="A1164" t="str">
            <v>74139/2</v>
          </cell>
          <cell r="B1164" t="str">
            <v>PORTA DE MADEIRA PARA BANHEIRO, EM CHAPA DE MADEIRA COMPENSADA, REVESTIDA COM LAMINADO TEXTURIZADO, 60X160CM, INCLUSO MARCO E DOBRADICAS</v>
          </cell>
          <cell r="C1164" t="str">
            <v>UN</v>
          </cell>
          <cell r="D1164">
            <v>199.4</v>
          </cell>
        </row>
        <row r="1165">
          <cell r="A1165">
            <v>84830</v>
          </cell>
          <cell r="B1165" t="str">
            <v>PORTA DE MADEIRA VENEZIANA 2A, COM PREVISAO PARA VIDRO, 60X210X3CM, INCLUSO ADUELA 1A, ALIZAR 1A E DOBRADICAS COM ANEIS</v>
          </cell>
          <cell r="C1165" t="str">
            <v>UN</v>
          </cell>
          <cell r="D1165">
            <v>863.14</v>
          </cell>
        </row>
        <row r="1166">
          <cell r="A1166">
            <v>84831</v>
          </cell>
          <cell r="B1166" t="str">
            <v>PORTA DE MADEIRA VENEZIANA 2A, COM PREVISAO PARA VIDRO, 70X210X3CM, INCLUSO ADUELA 1A, ALIZAR 1A E DOBRADICAS COM ANEIS</v>
          </cell>
          <cell r="C1166" t="str">
            <v>UN</v>
          </cell>
          <cell r="D1166">
            <v>961.96</v>
          </cell>
        </row>
        <row r="1167">
          <cell r="A1167">
            <v>84832</v>
          </cell>
          <cell r="B1167" t="str">
            <v>PORTA DE MADEIRA VENEZIANA 2A, COM PREVISAO PARA VIDRO, 80X210X3CM, INCLUSO ADUELA 1A, ALIZAR 1A E DOBRADICAS COM ANEIS</v>
          </cell>
          <cell r="C1167" t="str">
            <v>UN</v>
          </cell>
          <cell r="D1167">
            <v>1060.78</v>
          </cell>
        </row>
        <row r="1168">
          <cell r="A1168">
            <v>84838</v>
          </cell>
          <cell r="B1168" t="str">
            <v>PORTA DE MADEIRA ALMOFADADA SEMIOCA 1A, 60X210X3CM, INCLUSO ADUELA 1A, ALIZAR 1A E DOBRADICAS COM ANEIS</v>
          </cell>
          <cell r="C1168" t="str">
            <v>UN</v>
          </cell>
          <cell r="D1168">
            <v>497.45</v>
          </cell>
        </row>
        <row r="1169">
          <cell r="A1169">
            <v>84839</v>
          </cell>
          <cell r="B1169" t="str">
            <v>PORTA DE MADEIRA MACICA REGIONAL 1A, MEXICANA, 80X210X3,5CM, COM ADUELA E ALIZAR DE 1A, COM DOBRADICAS DE LATAO CROMADO COM ANEIS</v>
          </cell>
          <cell r="C1169" t="str">
            <v>UN</v>
          </cell>
          <cell r="D1169">
            <v>777.73</v>
          </cell>
        </row>
        <row r="1170">
          <cell r="A1170">
            <v>84840</v>
          </cell>
          <cell r="B1170" t="str">
            <v>PORTA DE MADEIRA ALMOFADADA SEMIOCA 1A, 70X210X3CM, INCLUSO ADUELA 1A, ALIZAR 1A E DOBRADICAS COM ANEIS</v>
          </cell>
          <cell r="C1170" t="str">
            <v>UN</v>
          </cell>
          <cell r="D1170">
            <v>508.29</v>
          </cell>
        </row>
        <row r="1171">
          <cell r="A1171">
            <v>84841</v>
          </cell>
          <cell r="B1171" t="str">
            <v>PORTA DE MADEIRA MACICA, REGIONAL 2A, MEXICANA, 80X210X3,5CM, COM ADUELA E ALIZAR DE 2A, COM DOBRADICAS DE LATAO CROMADO COM ANEIS</v>
          </cell>
          <cell r="C1171" t="str">
            <v>UN</v>
          </cell>
          <cell r="D1171">
            <v>654.86</v>
          </cell>
        </row>
        <row r="1172">
          <cell r="A1172">
            <v>84850</v>
          </cell>
          <cell r="B1172" t="str">
            <v>PORTA DE MADEIRA ALMOFADADA SEMIOCA 1A, 140X210X3CM, DUAS FOLHAS, INCLUSO ADUELA 1A, ALIZAR 1A E DOBRADICAS COM ANEIS</v>
          </cell>
          <cell r="C1172" t="str">
            <v>UN</v>
          </cell>
          <cell r="D1172">
            <v>808.64</v>
          </cell>
        </row>
        <row r="1173">
          <cell r="A1173">
            <v>84852</v>
          </cell>
          <cell r="B1173" t="str">
            <v>BANDEIRA PARA VIDRO EM MADEIRA REGIONAL 2A, 40X70CM, FIXA SEM ADUELA E ALIZAR</v>
          </cell>
          <cell r="C1173" t="str">
            <v>UN</v>
          </cell>
          <cell r="D1173">
            <v>50.76</v>
          </cell>
        </row>
        <row r="1174">
          <cell r="A1174">
            <v>84855</v>
          </cell>
          <cell r="B1174" t="str">
            <v>ALIZAR DE MADEIRA REGIONAL 1A 5X2,0CM</v>
          </cell>
          <cell r="C1174" t="str">
            <v>M</v>
          </cell>
          <cell r="D1174">
            <v>4.08</v>
          </cell>
        </row>
        <row r="1175">
          <cell r="A1175">
            <v>84856</v>
          </cell>
          <cell r="B1175" t="str">
            <v>ALIZAR DE MADEIRA REGIONAL 2A 5X2,0CM</v>
          </cell>
          <cell r="C1175" t="str">
            <v>M</v>
          </cell>
          <cell r="D1175">
            <v>6.04</v>
          </cell>
        </row>
        <row r="1176">
          <cell r="A1176">
            <v>84859</v>
          </cell>
          <cell r="B1176" t="str">
            <v>ALIZAR DE MADEIRA REGIONAL 3A 5X2,0CM</v>
          </cell>
          <cell r="C1176" t="str">
            <v>M</v>
          </cell>
          <cell r="D1176">
            <v>5.22</v>
          </cell>
        </row>
        <row r="1177">
          <cell r="A1177">
            <v>84861</v>
          </cell>
          <cell r="B1177" t="str">
            <v>MARCO DE MADEIRA REGIONAL 1A 7X3,0CM</v>
          </cell>
          <cell r="C1177" t="str">
            <v>M</v>
          </cell>
          <cell r="D1177">
            <v>20.309999999999999</v>
          </cell>
        </row>
        <row r="1178">
          <cell r="A1178">
            <v>84864</v>
          </cell>
          <cell r="B1178" t="str">
            <v>MARCO DE MADEIRA REGIONAL 2A 7X3,0CM</v>
          </cell>
          <cell r="C1178" t="str">
            <v>M</v>
          </cell>
          <cell r="D1178">
            <v>13.28</v>
          </cell>
        </row>
        <row r="1179">
          <cell r="A1179">
            <v>84865</v>
          </cell>
          <cell r="B1179" t="str">
            <v>ADUELA DE MADEIRA REGIONAL 3A 13X3,0CM</v>
          </cell>
          <cell r="C1179" t="str">
            <v>M</v>
          </cell>
          <cell r="D1179">
            <v>17.68</v>
          </cell>
        </row>
        <row r="1180">
          <cell r="A1180">
            <v>84868</v>
          </cell>
          <cell r="B1180" t="str">
            <v>PORTA DE MADEIRA ALMOFADADA SEMIOCA 1A, 120X210X3CM, DUAS FOLHAS, INCLUSO ADUELA 1A, ALIZAR 1A E DOBRADICAS COM ANEIS</v>
          </cell>
          <cell r="C1180" t="str">
            <v>UN</v>
          </cell>
          <cell r="D1180">
            <v>780.26</v>
          </cell>
        </row>
        <row r="1181">
          <cell r="A1181">
            <v>84871</v>
          </cell>
          <cell r="B1181" t="str">
            <v>ADUELA DE MADEIRA REGIONAL 1A 15X3,5CM</v>
          </cell>
          <cell r="C1181" t="str">
            <v>M</v>
          </cell>
          <cell r="D1181">
            <v>33.65</v>
          </cell>
        </row>
        <row r="1182">
          <cell r="A1182">
            <v>84874</v>
          </cell>
          <cell r="B1182" t="str">
            <v>ALCAPAO EM COMPENSADO DE MADEIRA CEDRO/VIROLA, 60X60X2CM, COM MARCO 7X3CM, ALIZAR DE 2A, DOBRADICAS EM LATAO CROMADO E TARJETA CROMADA</v>
          </cell>
          <cell r="C1182" t="str">
            <v>UN</v>
          </cell>
          <cell r="D1182">
            <v>113.9</v>
          </cell>
        </row>
        <row r="1183">
          <cell r="A1183">
            <v>84875</v>
          </cell>
          <cell r="B1183" t="str">
            <v>PORTA DE MADEIRA MACICA REGIONAL 1A, DE CORRER P/VIDRO, COM ADUELA E ALIZAR DE 1A, TRILHO E RODIZIOS</v>
          </cell>
          <cell r="C1183" t="str">
            <v>M2</v>
          </cell>
          <cell r="D1183">
            <v>579.17999999999995</v>
          </cell>
        </row>
        <row r="1184">
          <cell r="A1184">
            <v>84876</v>
          </cell>
          <cell r="B1184" t="str">
            <v>PORTA MADEIRA 1A CORRER P/VIDRO 30MM/ GUARNICAO 15CM/ALIZAR</v>
          </cell>
          <cell r="C1184" t="str">
            <v>M2</v>
          </cell>
          <cell r="D1184">
            <v>626.35</v>
          </cell>
        </row>
        <row r="1185">
          <cell r="A1185">
            <v>85034</v>
          </cell>
          <cell r="B1185" t="str">
            <v>ADUELA DE MADEIRA REGIONAL 2A 15X3,0CM</v>
          </cell>
          <cell r="C1185" t="str">
            <v>M</v>
          </cell>
          <cell r="D1185">
            <v>18.649999999999999</v>
          </cell>
        </row>
        <row r="1186">
          <cell r="A1186">
            <v>85040</v>
          </cell>
          <cell r="B1186" t="str">
            <v>ADUELA MADEIRA REGIONAL 2A 13X3,0CM</v>
          </cell>
          <cell r="C1186" t="str">
            <v>M</v>
          </cell>
          <cell r="D1186">
            <v>17.22</v>
          </cell>
        </row>
        <row r="1187">
          <cell r="A1187">
            <v>85044</v>
          </cell>
          <cell r="B1187" t="str">
            <v>ADUELA MADEIRA REGIONAL 3A 13X3,0CM</v>
          </cell>
          <cell r="C1187" t="str">
            <v>M</v>
          </cell>
          <cell r="D1187">
            <v>17.22</v>
          </cell>
        </row>
        <row r="1188">
          <cell r="A1188">
            <v>85065</v>
          </cell>
          <cell r="B1188" t="str">
            <v>ADUELA DE MADEIRA REGIONAL 1A 13X3,0CM</v>
          </cell>
          <cell r="C1188" t="str">
            <v>M</v>
          </cell>
          <cell r="D1188">
            <v>28.02</v>
          </cell>
        </row>
        <row r="1189">
          <cell r="A1189" t="str">
            <v>73813/1</v>
          </cell>
          <cell r="B1189" t="str">
            <v>JANELA DE MADEIRA ALMOFADADA 1A, 1,5X1,5M, DE ABRIR, INCLUSO GUARNICOES E DOBRADICAS</v>
          </cell>
          <cell r="C1189" t="str">
            <v>UN</v>
          </cell>
          <cell r="D1189">
            <v>979.45</v>
          </cell>
        </row>
        <row r="1190">
          <cell r="A1190">
            <v>84842</v>
          </cell>
          <cell r="B1190" t="str">
            <v>JANELA DE MADEIRA PARA VIDRO, DE CORRER, SEM BANDEIRA, INCLUSAS GUARNICOES SEM FERRAGENS</v>
          </cell>
          <cell r="C1190" t="str">
            <v>M2</v>
          </cell>
          <cell r="D1190">
            <v>491.27</v>
          </cell>
        </row>
        <row r="1191">
          <cell r="A1191">
            <v>84843</v>
          </cell>
          <cell r="B1191" t="str">
            <v>JANELA DE MADEIRA PARA VIDRO, DE CORRER, COM BANDEIRA, INCLUSAS GUARNICOES SEM FERRAGENS</v>
          </cell>
          <cell r="C1191" t="str">
            <v>M2</v>
          </cell>
          <cell r="D1191">
            <v>489.85</v>
          </cell>
        </row>
        <row r="1192">
          <cell r="A1192">
            <v>84844</v>
          </cell>
          <cell r="B1192" t="str">
            <v>JANELA DE MADEIRA TIPO GUILHOTINA, DE ABRIR , INCLUSAS GUARNICOES SEM FERRAGENS</v>
          </cell>
          <cell r="C1192" t="str">
            <v>M2</v>
          </cell>
          <cell r="D1192">
            <v>494.53</v>
          </cell>
        </row>
        <row r="1193">
          <cell r="A1193">
            <v>84845</v>
          </cell>
          <cell r="B1193" t="str">
            <v>JANELA DE MADEIRA TIPO VENEZIANA. DE ABRIR, INCLUSAS GUARNICOES SEM FERRAGENS</v>
          </cell>
          <cell r="C1193" t="str">
            <v>M2</v>
          </cell>
          <cell r="D1193">
            <v>426.31</v>
          </cell>
        </row>
        <row r="1194">
          <cell r="A1194">
            <v>84846</v>
          </cell>
          <cell r="B1194" t="str">
            <v>JANELA DE MADEIRA TIPO VENEZIANA/VIDRO, DE ABRIR, INCLUSAS GUARNICOES SEM FERRAGENS</v>
          </cell>
          <cell r="C1194" t="str">
            <v>M2</v>
          </cell>
          <cell r="D1194">
            <v>582.64</v>
          </cell>
        </row>
        <row r="1195">
          <cell r="A1195">
            <v>84847</v>
          </cell>
          <cell r="B1195" t="str">
            <v>JANELA DE MADEIRA ALMOFADADA, DE ABRIR, INCLUSAS GUARNICOES SEM FERRAGENS</v>
          </cell>
          <cell r="C1195" t="str">
            <v>M2</v>
          </cell>
          <cell r="D1195">
            <v>468.94</v>
          </cell>
        </row>
        <row r="1196">
          <cell r="A1196">
            <v>84848</v>
          </cell>
          <cell r="B1196" t="str">
            <v>JANELA DE MADEIRA TIPO VENEZIANA/GUILHOTINA, DE ABRIR, INCLUSAS GUARNICOES SEM FERRAGENS</v>
          </cell>
          <cell r="C1196" t="str">
            <v>M2</v>
          </cell>
          <cell r="D1196">
            <v>343.38</v>
          </cell>
        </row>
        <row r="1197">
          <cell r="A1197">
            <v>84849</v>
          </cell>
          <cell r="B1197" t="str">
            <v>CAIXA MADEIRA 57X43CM COM GUARNICAO 13CM P/ FECHAMENTO DE AR CONDICIONAL</v>
          </cell>
          <cell r="C1197" t="str">
            <v>UN</v>
          </cell>
          <cell r="D1197">
            <v>52.99</v>
          </cell>
        </row>
        <row r="1198">
          <cell r="A1198">
            <v>84851</v>
          </cell>
          <cell r="B1198" t="str">
            <v>TRELICA DE MADEIRA, RIPAS 4X1,5CM E REQUADROS 7,5X7,5CM</v>
          </cell>
          <cell r="C1198" t="str">
            <v>M2</v>
          </cell>
          <cell r="D1198">
            <v>84.36</v>
          </cell>
        </row>
        <row r="1199">
          <cell r="A1199">
            <v>40678</v>
          </cell>
          <cell r="B1199" t="str">
            <v>PORTA EM FERRO QUADRICULADO PARA ABRIGO DE MEDIDORES E BOTIJOES, DE ABRIR, COM GUARNICOES</v>
          </cell>
          <cell r="C1199" t="str">
            <v>M2</v>
          </cell>
          <cell r="D1199">
            <v>173.75</v>
          </cell>
        </row>
        <row r="1200">
          <cell r="A1200">
            <v>72140</v>
          </cell>
          <cell r="B1200" t="str">
            <v>PORTA DE FERRO PARA LIXEIRA, DE ABRIR, TIPO CHAPA, 70X210CM , COM GUARNICOES</v>
          </cell>
          <cell r="C1200" t="str">
            <v>UN</v>
          </cell>
          <cell r="D1200">
            <v>234.24</v>
          </cell>
        </row>
        <row r="1201">
          <cell r="A1201">
            <v>73632</v>
          </cell>
          <cell r="B1201" t="str">
            <v>PORTA CORTA-FOGO 90X210X4CM</v>
          </cell>
          <cell r="C1201" t="str">
            <v>UN</v>
          </cell>
          <cell r="D1201">
            <v>620.91999999999996</v>
          </cell>
        </row>
        <row r="1202">
          <cell r="A1202" t="str">
            <v>73933/1</v>
          </cell>
          <cell r="B1202" t="str">
            <v>PORTA DE FERRO, DE ABRIR, TIPO GRADE COM CHAPA, 87X210CM, COM GUARNICOES</v>
          </cell>
          <cell r="C1202" t="str">
            <v>M2</v>
          </cell>
          <cell r="D1202">
            <v>239.62</v>
          </cell>
        </row>
        <row r="1203">
          <cell r="A1203" t="str">
            <v>73933/2</v>
          </cell>
          <cell r="B1203" t="str">
            <v>PORTA DE FERRO, DE ABRIR, TIPO CHAPA LISA, COM GUARNICOES</v>
          </cell>
          <cell r="C1203" t="str">
            <v>M2</v>
          </cell>
          <cell r="D1203">
            <v>284.17</v>
          </cell>
        </row>
        <row r="1204">
          <cell r="A1204" t="str">
            <v>73933/3</v>
          </cell>
          <cell r="B1204" t="str">
            <v>PORTA DE FERRO TIPO VENEZIANA, DE ABRIR, SEM BANDEIRA SEM FERRAGENS</v>
          </cell>
          <cell r="C1204" t="str">
            <v>M2</v>
          </cell>
          <cell r="D1204">
            <v>261.89</v>
          </cell>
        </row>
        <row r="1205">
          <cell r="A1205" t="str">
            <v>73933/4</v>
          </cell>
          <cell r="B1205" t="str">
            <v>PORTA DE FERRO DE ABRIR TIPO BARRA CHATA, COM REQUADRO E GUARNICAO COMPLETA</v>
          </cell>
          <cell r="C1205" t="str">
            <v>M2</v>
          </cell>
          <cell r="D1205">
            <v>230.27</v>
          </cell>
        </row>
        <row r="1206">
          <cell r="A1206" t="str">
            <v>74073/1</v>
          </cell>
          <cell r="B1206" t="str">
            <v>ALCAPAO EM FERRO 60X60CM, INCLUSO FERRAGENS</v>
          </cell>
          <cell r="C1206" t="str">
            <v>UN</v>
          </cell>
          <cell r="D1206">
            <v>69.23</v>
          </cell>
        </row>
        <row r="1207">
          <cell r="A1207" t="str">
            <v>74073/2</v>
          </cell>
          <cell r="B1207" t="str">
            <v>ALCAPAO EM FERRO 70X70CM, INCLUSO FERRAGENS</v>
          </cell>
          <cell r="C1207" t="str">
            <v>UN</v>
          </cell>
          <cell r="D1207">
            <v>77.959999999999994</v>
          </cell>
        </row>
        <row r="1208">
          <cell r="A1208" t="str">
            <v>74136/1</v>
          </cell>
          <cell r="B1208" t="str">
            <v>PORTA DE ACO DE ENROLAR TIPO GRADE, CHAPA 16</v>
          </cell>
          <cell r="C1208" t="str">
            <v>M2</v>
          </cell>
          <cell r="D1208">
            <v>416.49</v>
          </cell>
        </row>
        <row r="1209">
          <cell r="A1209" t="str">
            <v>74136/2</v>
          </cell>
          <cell r="B1209" t="str">
            <v>PORTA DE ACO CHAPA 24, DE ENROLAR, VAZADA TIJOLINHO OU EQUIVALENTE COM RETANGULO OU CIRCULO, ACABAMENTO GALVANIZADO NATURAL</v>
          </cell>
          <cell r="C1209" t="str">
            <v>M2</v>
          </cell>
          <cell r="D1209">
            <v>458.2</v>
          </cell>
        </row>
        <row r="1210">
          <cell r="A1210" t="str">
            <v>74136/3</v>
          </cell>
          <cell r="B1210" t="str">
            <v>PORTA DE ACO CHAPA 24, DE ENROLAR, RAIADA, LARGA COM ACABAMENTO GALVANIZADO NATURAL</v>
          </cell>
          <cell r="C1210" t="str">
            <v>M2</v>
          </cell>
          <cell r="D1210">
            <v>289.02</v>
          </cell>
        </row>
        <row r="1211">
          <cell r="A1211" t="str">
            <v>74232/1</v>
          </cell>
          <cell r="B1211" t="str">
            <v>PORTA DE CHAPA DOBRADA DE ACO PRE-ZINCADO OU COM ADICAO DE COBRE, DE ABRIR COM POSTIGO PARA VIDRO, 87X210CM</v>
          </cell>
          <cell r="C1211" t="str">
            <v>UN</v>
          </cell>
          <cell r="D1211">
            <v>593.94000000000005</v>
          </cell>
        </row>
        <row r="1212">
          <cell r="A1212">
            <v>84853</v>
          </cell>
          <cell r="B1212" t="str">
            <v>PORTA DE CHAPA DE ACO PRE-ZINCADO OU COM ADICAO DE COBRE, DE ABRIR, COM TRAVESSAS PARA VIDROS 87X210CM, EXCLUINDO VIDROS</v>
          </cell>
          <cell r="C1212" t="str">
            <v>UN</v>
          </cell>
          <cell r="D1212">
            <v>367.83</v>
          </cell>
        </row>
        <row r="1213">
          <cell r="A1213">
            <v>84854</v>
          </cell>
          <cell r="B1213" t="str">
            <v>BATENTE FERRO 1X1/8"</v>
          </cell>
          <cell r="C1213" t="str">
            <v>M</v>
          </cell>
          <cell r="D1213">
            <v>19.940000000000001</v>
          </cell>
        </row>
        <row r="1214">
          <cell r="A1214">
            <v>84857</v>
          </cell>
          <cell r="B1214" t="str">
            <v>PORTA PANTOGRAFICA PERFIL LAMINADO "U' INCLUSIVE ASSENTAMENTO E ACABAMENTO</v>
          </cell>
          <cell r="C1214" t="str">
            <v>M2</v>
          </cell>
          <cell r="D1214">
            <v>270.95</v>
          </cell>
        </row>
        <row r="1215">
          <cell r="A1215">
            <v>6103</v>
          </cell>
          <cell r="B1215" t="str">
            <v>JANELA BASCULANTE DE FERRO EM CANTONEIRA 5/8"X1/8", LINHA POPULAR</v>
          </cell>
          <cell r="C1215" t="str">
            <v>M2</v>
          </cell>
          <cell r="D1215">
            <v>311.64999999999998</v>
          </cell>
        </row>
        <row r="1216">
          <cell r="A1216">
            <v>6104</v>
          </cell>
          <cell r="B1216" t="str">
            <v>JANELA BASCULANTE EM CHAPA DOBRADA DE ACO</v>
          </cell>
          <cell r="C1216" t="str">
            <v>M2</v>
          </cell>
          <cell r="D1216">
            <v>324.32</v>
          </cell>
        </row>
        <row r="1217">
          <cell r="A1217">
            <v>6126</v>
          </cell>
          <cell r="B1217" t="str">
            <v>JANELA DE CORRER EM CHAPA DE ACO, COM DUAS FOLHAS, PARA VIDRO</v>
          </cell>
          <cell r="C1217" t="str">
            <v>M2</v>
          </cell>
          <cell r="D1217">
            <v>390.25</v>
          </cell>
        </row>
        <row r="1218">
          <cell r="A1218">
            <v>72148</v>
          </cell>
          <cell r="B1218" t="str">
            <v>RETIRADA DE BATENTES METALICOS</v>
          </cell>
          <cell r="C1218" t="str">
            <v>UN</v>
          </cell>
          <cell r="D1218">
            <v>24.37</v>
          </cell>
        </row>
        <row r="1219">
          <cell r="A1219">
            <v>72149</v>
          </cell>
          <cell r="B1219" t="str">
            <v>RECOLOCACAO DE BATENTES METALICOS, CONSIDERANDO REAPROVEITAMENTO DO MATERIAL</v>
          </cell>
          <cell r="C1219" t="str">
            <v>UN</v>
          </cell>
          <cell r="D1219">
            <v>26.4</v>
          </cell>
        </row>
        <row r="1220">
          <cell r="A1220" t="str">
            <v>73940/1</v>
          </cell>
          <cell r="B1220" t="str">
            <v>JANELA DE CORRER EM CHAPA DE ACO DOBRADA, QUATRO FOLHAS, SEM DIVISAO HORIZONTAL, PARA VIDRO, 1,50X1,20M</v>
          </cell>
          <cell r="C1220" t="str">
            <v>UN</v>
          </cell>
          <cell r="D1220">
            <v>402.01</v>
          </cell>
        </row>
        <row r="1221">
          <cell r="A1221" t="str">
            <v>73945/1</v>
          </cell>
          <cell r="B1221" t="str">
            <v>JANELA DE CHAPA DOBRADA DE ACO COM ADICAO DE COBRE PRE-ZINCADO DE CORRER 2 FOLHAS PARA VIDRO, EXCLUINDO VIDROS</v>
          </cell>
          <cell r="C1221" t="str">
            <v>M2</v>
          </cell>
          <cell r="D1221">
            <v>387.46</v>
          </cell>
        </row>
        <row r="1222">
          <cell r="A1222" t="str">
            <v>73961/1</v>
          </cell>
          <cell r="B1222" t="str">
            <v>JANELA MAXIM AR EM CHAPA DOBRADA</v>
          </cell>
          <cell r="C1222" t="str">
            <v>M2</v>
          </cell>
          <cell r="D1222">
            <v>431.07</v>
          </cell>
        </row>
        <row r="1223">
          <cell r="A1223" t="str">
            <v>73984/1</v>
          </cell>
          <cell r="B1223" t="str">
            <v>JANELA DE CORRER EM CHAPA DE ACO DOBRADA, QUATRO FOLHAS, COM DIVISAO HORIZONTAL, PARA VIDRO, 1,50X1,20M</v>
          </cell>
          <cell r="C1223" t="str">
            <v>M2</v>
          </cell>
          <cell r="D1223">
            <v>372.87</v>
          </cell>
        </row>
        <row r="1224">
          <cell r="A1224" t="str">
            <v>73984/2</v>
          </cell>
          <cell r="B1224" t="str">
            <v>JANELA DE CORRER EM FERRO TIPO VENEZIANA, DUAS FOLHAS, LINHA POPULAR</v>
          </cell>
          <cell r="C1224" t="str">
            <v>M2</v>
          </cell>
          <cell r="D1224">
            <v>481.82</v>
          </cell>
        </row>
        <row r="1225">
          <cell r="A1225">
            <v>84858</v>
          </cell>
          <cell r="B1225" t="str">
            <v>JANELA DE CORRER EM CHAPA DE ACO DOBRADA 2,00X1,20M, 4 FOLHAS, PARA VIDRO, COM DIVISAO HORIZONTAL</v>
          </cell>
          <cell r="C1225" t="str">
            <v>UN</v>
          </cell>
          <cell r="D1225">
            <v>519.33000000000004</v>
          </cell>
        </row>
        <row r="1226">
          <cell r="A1226">
            <v>84860</v>
          </cell>
          <cell r="B1226" t="str">
            <v>JANELA DE CORRER EM CHAPA DE ACO DOBRADA 2,00X1,20M, 4 FOLHAS, PARA VIDRO, SEM DIVISAO HORIZONTAL</v>
          </cell>
          <cell r="C1226" t="str">
            <v>UN</v>
          </cell>
          <cell r="D1226">
            <v>509.4</v>
          </cell>
        </row>
        <row r="1227">
          <cell r="A1227" t="str">
            <v>73932/1</v>
          </cell>
          <cell r="B1227" t="str">
            <v>GRADE DE FERRO EM BARRA CHATA 3/16"</v>
          </cell>
          <cell r="C1227" t="str">
            <v>M2</v>
          </cell>
          <cell r="D1227">
            <v>201.33</v>
          </cell>
        </row>
        <row r="1228">
          <cell r="A1228">
            <v>73631</v>
          </cell>
          <cell r="B1228" t="str">
            <v>GUARDA-CORPO EM TUBO DE ACO GALVANIZADO 1 1/2"</v>
          </cell>
          <cell r="C1228" t="str">
            <v>M2</v>
          </cell>
          <cell r="D1228">
            <v>220.69</v>
          </cell>
        </row>
        <row r="1229">
          <cell r="A1229" t="str">
            <v>74195/1</v>
          </cell>
          <cell r="B1229" t="str">
            <v>GUARDA-CORPO  COM CORRIMAO EM FERRO BARRA CHATA 3/16"</v>
          </cell>
          <cell r="C1229" t="str">
            <v>M</v>
          </cell>
          <cell r="D1229">
            <v>234.15</v>
          </cell>
        </row>
        <row r="1230">
          <cell r="A1230">
            <v>73665</v>
          </cell>
          <cell r="B1230" t="str">
            <v>ESCADA TIPO MARINHEIRO EM ACO CA-50 9,52MM INCLUSO PINTURA COM FUNDO ANTICORROSIVO TIPO ZARCAO</v>
          </cell>
          <cell r="C1230" t="str">
            <v>M</v>
          </cell>
          <cell r="D1230">
            <v>38.61</v>
          </cell>
        </row>
        <row r="1231">
          <cell r="A1231">
            <v>73669</v>
          </cell>
          <cell r="B1231" t="str">
            <v>CORRIMAO EM MADEIRA 1A 2,5X30CM</v>
          </cell>
          <cell r="C1231" t="str">
            <v>M</v>
          </cell>
          <cell r="D1231">
            <v>56.42</v>
          </cell>
        </row>
        <row r="1232">
          <cell r="A1232" t="str">
            <v>74072/1</v>
          </cell>
          <cell r="B1232" t="str">
            <v>CORRIMAO EM TUBO ACO GALVANIZADO 3/4" COM BRACADEIRA</v>
          </cell>
          <cell r="C1232" t="str">
            <v>M</v>
          </cell>
          <cell r="D1232">
            <v>47.31</v>
          </cell>
        </row>
        <row r="1233">
          <cell r="A1233" t="str">
            <v>74072/2</v>
          </cell>
          <cell r="B1233" t="str">
            <v>CORRIMAO EM TUBO ACO GALVANIZADO 2 1/2" COM BRACADEIRA</v>
          </cell>
          <cell r="C1233" t="str">
            <v>M</v>
          </cell>
          <cell r="D1233">
            <v>86.98</v>
          </cell>
        </row>
        <row r="1234">
          <cell r="A1234" t="str">
            <v>74072/3</v>
          </cell>
          <cell r="B1234" t="str">
            <v>CORRIMAO EM TUBO ACO GALVANIZADO 1 1/4" COM BRACADEIRA</v>
          </cell>
          <cell r="C1234" t="str">
            <v>M</v>
          </cell>
          <cell r="D1234">
            <v>60.21</v>
          </cell>
        </row>
        <row r="1235">
          <cell r="A1235" t="str">
            <v>74103/1</v>
          </cell>
          <cell r="B1235" t="str">
            <v>ESCADA TIPO MARINHEIRO EM ACO CA-50 12,5", INCLUSO PINTURA COM FUNDO ANTICORROSIVO TIPO ZARCAO</v>
          </cell>
          <cell r="C1235" t="str">
            <v>M</v>
          </cell>
          <cell r="D1235">
            <v>48.48</v>
          </cell>
        </row>
        <row r="1236">
          <cell r="A1236" t="str">
            <v>74194/1</v>
          </cell>
          <cell r="B1236" t="str">
            <v>ESCADA TIPO MARINHEIRO EM TUBO ACO GALVANIZADO 1 1/2" 5 DEGRAUS</v>
          </cell>
          <cell r="C1236" t="str">
            <v>M</v>
          </cell>
          <cell r="D1236">
            <v>179.19</v>
          </cell>
        </row>
        <row r="1237">
          <cell r="A1237">
            <v>84862</v>
          </cell>
          <cell r="B1237" t="str">
            <v>GUARDA-CORPO COM CORRIMAO EM TUBO DE ACO GALVANIZADO 1 1/2"</v>
          </cell>
          <cell r="C1237" t="str">
            <v>M</v>
          </cell>
          <cell r="D1237">
            <v>169.14</v>
          </cell>
        </row>
        <row r="1238">
          <cell r="A1238">
            <v>84863</v>
          </cell>
          <cell r="B1238" t="str">
            <v>GUARDA-CORPO COM CORRIMAO EM TUBO DE ACO GALVANIZADO 3/4"</v>
          </cell>
          <cell r="C1238" t="str">
            <v>M</v>
          </cell>
          <cell r="D1238">
            <v>82.07</v>
          </cell>
        </row>
        <row r="1239">
          <cell r="A1239">
            <v>68050</v>
          </cell>
          <cell r="B1239" t="str">
            <v>PORTA DE CORRER EM ALUMINIO, COM DUAS FOLHAS PARA VIDRO, INCLUSO GUARNICAO E VIDRO LISO INCOLOR</v>
          </cell>
          <cell r="C1239" t="str">
            <v>M2</v>
          </cell>
          <cell r="D1239">
            <v>359.8</v>
          </cell>
        </row>
        <row r="1240">
          <cell r="A1240" t="str">
            <v>74071/1</v>
          </cell>
          <cell r="B1240" t="str">
            <v>PORTA DE ABRIR, EM ALUMINIO, CHAPA CORRUGADA COM GUARNICAO</v>
          </cell>
          <cell r="C1240" t="str">
            <v>M2</v>
          </cell>
          <cell r="D1240">
            <v>466.38</v>
          </cell>
        </row>
        <row r="1241">
          <cell r="A1241" t="str">
            <v>74071/2</v>
          </cell>
          <cell r="B1241" t="str">
            <v>PORTA DE ABRIR EM ALUMINIO TIPO VENEZIANA, COM GUARNICAO</v>
          </cell>
          <cell r="C1241" t="str">
            <v>M2</v>
          </cell>
          <cell r="D1241">
            <v>468.36</v>
          </cell>
        </row>
        <row r="1242">
          <cell r="A1242" t="str">
            <v>73737/1</v>
          </cell>
          <cell r="B1242" t="str">
            <v>GRADIL DE ALUMINIO ANODIZADO TIPO BARRA CHATA PARA VARANDAS, ALTURA 0,4M</v>
          </cell>
          <cell r="C1242" t="str">
            <v>M</v>
          </cell>
          <cell r="D1242">
            <v>106.86</v>
          </cell>
        </row>
        <row r="1243">
          <cell r="A1243" t="str">
            <v>73737/2</v>
          </cell>
          <cell r="B1243" t="str">
            <v>GRADIL DE ALUMINIO ANODIZADO TIPO BARRA CHATA PARA VARANDAS, ALTURA 1,0M</v>
          </cell>
          <cell r="C1243" t="str">
            <v>M</v>
          </cell>
          <cell r="D1243">
            <v>230.1</v>
          </cell>
        </row>
        <row r="1244">
          <cell r="A1244" t="str">
            <v>73737/3</v>
          </cell>
          <cell r="B1244" t="str">
            <v>GRADIL DE ALUMINIO ANODIZADO TIPO BARRA CHATA PARA VARANDAS, ALTURA 1,2M</v>
          </cell>
          <cell r="C1244" t="str">
            <v>M</v>
          </cell>
          <cell r="D1244">
            <v>269.86</v>
          </cell>
        </row>
        <row r="1245">
          <cell r="A1245">
            <v>85096</v>
          </cell>
          <cell r="B1245" t="str">
            <v>GRADIL DE ALUMINIO ANODIZADO TIPO BARRA CHATA</v>
          </cell>
          <cell r="C1245" t="str">
            <v>M2</v>
          </cell>
          <cell r="D1245">
            <v>231.19</v>
          </cell>
        </row>
        <row r="1246">
          <cell r="A1246" t="str">
            <v>73736/1</v>
          </cell>
          <cell r="B1246" t="str">
            <v>DOBRADICA TIPO VAI E VEM EM LATAO POLIDO 3"</v>
          </cell>
          <cell r="C1246" t="str">
            <v>UN</v>
          </cell>
          <cell r="D1246">
            <v>49.54</v>
          </cell>
        </row>
        <row r="1247">
          <cell r="A1247" t="str">
            <v>74068/1</v>
          </cell>
          <cell r="B1247" t="str">
            <v>CONJUNTO DE FERRAGENS CONTENDO FECHADURA COM CILINDRO PARA PORTA EXTERNA, MACANETA TIPO ALAVANCA COM ACABAMENTO PADRAO MEDIO E ROSETA EM LATAO CROMADO</v>
          </cell>
          <cell r="C1247" t="str">
            <v>UN</v>
          </cell>
          <cell r="D1247">
            <v>447.14</v>
          </cell>
        </row>
        <row r="1248">
          <cell r="A1248" t="str">
            <v>74068/2</v>
          </cell>
          <cell r="B1248" t="str">
            <v>FECHADURA DE EMBUTIR COMPLETA, PARA PORTAS EXTERNAS, PADRAO DE ACABAMENTO POPULAR</v>
          </cell>
          <cell r="C1248" t="str">
            <v>UN</v>
          </cell>
          <cell r="D1248">
            <v>60.65</v>
          </cell>
        </row>
        <row r="1249">
          <cell r="A1249" t="str">
            <v>74068/3</v>
          </cell>
          <cell r="B1249" t="str">
            <v>FECHADURA DE EMBUTIR COMPLETA, PARA PORTAS EXTERNAS, PADRAO DE ACABAMENTO SUPERIOR</v>
          </cell>
          <cell r="C1249" t="str">
            <v>UN</v>
          </cell>
          <cell r="D1249">
            <v>221.24</v>
          </cell>
        </row>
        <row r="1250">
          <cell r="A1250" t="str">
            <v>74068/4</v>
          </cell>
          <cell r="B1250" t="str">
            <v>FECHADURA DE EMBUTIR COMPLETA, PARA PORTAS EXTERNAS 2 FOLHAS, PADRAO DE ACABAMENTO POPULAR E FECHO DE EMBUTIR TIPO UNHA COM ALAVANCA DE LATAO CROMADO 22CM</v>
          </cell>
          <cell r="C1250" t="str">
            <v>UN</v>
          </cell>
          <cell r="D1250">
            <v>166.9</v>
          </cell>
        </row>
        <row r="1251">
          <cell r="A1251" t="str">
            <v>74068/5</v>
          </cell>
          <cell r="B1251" t="str">
            <v>FECHADURA DE SOBREPOR EM FERRO PINTADO COM MACANETA PARA PORTAS EXTERNAS</v>
          </cell>
          <cell r="C1251" t="str">
            <v>UN</v>
          </cell>
          <cell r="D1251">
            <v>60.96</v>
          </cell>
        </row>
        <row r="1252">
          <cell r="A1252" t="str">
            <v>74068/6</v>
          </cell>
          <cell r="B1252" t="str">
            <v>FECHADURA DE EMBUTIR COMPLETA, PARA PORTAS EXTERNAS, PADRAO DE ACABAMENTO MEDIO</v>
          </cell>
          <cell r="C1252" t="str">
            <v>UN</v>
          </cell>
          <cell r="D1252">
            <v>128.68</v>
          </cell>
        </row>
        <row r="1253">
          <cell r="A1253" t="str">
            <v>74069/1</v>
          </cell>
          <cell r="B1253" t="str">
            <v>FECHADURA DE EMBUTIR COMPLETA, PARA PORTAS DE BANHEIRO, PADRAO DE ACABAMENTO POPULAR</v>
          </cell>
          <cell r="C1253" t="str">
            <v>UN</v>
          </cell>
          <cell r="D1253">
            <v>52.29</v>
          </cell>
        </row>
        <row r="1254">
          <cell r="A1254" t="str">
            <v>74069/2</v>
          </cell>
          <cell r="B1254" t="str">
            <v>FECHADURA DE EMBUTIR COMPLETA, PARA PORTAS DE BANHEIRO, PADRAO DE ACABAMENTO SUPERIOR</v>
          </cell>
          <cell r="C1254" t="str">
            <v>UN</v>
          </cell>
          <cell r="D1254">
            <v>186.9</v>
          </cell>
        </row>
        <row r="1255">
          <cell r="A1255" t="str">
            <v>74070/1</v>
          </cell>
          <cell r="B1255" t="str">
            <v>FECHADURA DE EMBUTIR COMPLETA, PARA PORTAS INTERNAS, PADRAO DE ACABAMENTO SUPERIOR</v>
          </cell>
          <cell r="C1255" t="str">
            <v>UN</v>
          </cell>
          <cell r="D1255">
            <v>159.44999999999999</v>
          </cell>
        </row>
        <row r="1256">
          <cell r="A1256" t="str">
            <v>74070/2</v>
          </cell>
          <cell r="B1256" t="str">
            <v>FECHADURA DE EMBUTIR COMPLETA, PARA PORTAS INTERNAS 2 FOLHAS, PADRAO DE ACABAMENTO POPULAR E FECHO DE EMBUTIR TIPO UNHA COM ALAVANCA DE LATAO CROMADO 22CM</v>
          </cell>
          <cell r="C1256" t="str">
            <v>UN</v>
          </cell>
          <cell r="D1256">
            <v>157.94999999999999</v>
          </cell>
        </row>
        <row r="1257">
          <cell r="A1257" t="str">
            <v>74070/3</v>
          </cell>
          <cell r="B1257" t="str">
            <v>FECHADURA DE EMBUTIR COMPLETA, PARA PORTAS INTERNAS, PADRAO DE ACABAMENTO POPULAR</v>
          </cell>
          <cell r="C1257" t="str">
            <v>UN</v>
          </cell>
          <cell r="D1257">
            <v>51.71</v>
          </cell>
        </row>
        <row r="1258">
          <cell r="A1258" t="str">
            <v>74070/4</v>
          </cell>
          <cell r="B1258" t="str">
            <v>FECHADURA DE EMBUTIR COMPLETA, PARA PORTAS INTERNAS, PADRAO DE ACABAMENTO MEDIO</v>
          </cell>
          <cell r="C1258" t="str">
            <v>UN</v>
          </cell>
          <cell r="D1258">
            <v>87.77</v>
          </cell>
        </row>
        <row r="1259">
          <cell r="A1259">
            <v>84866</v>
          </cell>
          <cell r="B1259" t="str">
            <v>FECHADURA DE EMBUTIR REFORCADA COMPLETA, DE SEGURANCA, COM CILINDRO, PARA PORTA EXTERNA, ACABAMENTO PADRAO MEDIO</v>
          </cell>
          <cell r="C1259" t="str">
            <v>UN</v>
          </cell>
          <cell r="D1259">
            <v>160.02000000000001</v>
          </cell>
        </row>
        <row r="1260">
          <cell r="A1260">
            <v>84878</v>
          </cell>
          <cell r="B1260" t="str">
            <v>TRANQUETA DE LATAO CROMADO PARA FECHADURA DE PORTA DE BANHEIRO COM ROSETA DE LATAO CROMADO SEM FECHADURA E MACANETA</v>
          </cell>
          <cell r="C1260" t="str">
            <v>UN</v>
          </cell>
          <cell r="D1260">
            <v>74.19</v>
          </cell>
        </row>
        <row r="1261">
          <cell r="A1261">
            <v>84879</v>
          </cell>
          <cell r="B1261" t="str">
            <v>FECHADURA (SOMENTE A MAQUINA, SEM ESPELHO E SEM MACA NETA), PARA PORTA BANHEIRO, COM ROSETA DE LATAO CROMADO E JOGO DE TRANQUETA EM LATAO CROMADO</v>
          </cell>
          <cell r="C1261" t="str">
            <v>UN</v>
          </cell>
          <cell r="D1261">
            <v>164.71</v>
          </cell>
        </row>
        <row r="1262">
          <cell r="A1262">
            <v>84880</v>
          </cell>
          <cell r="B1262" t="str">
            <v>FECHADURA BICO DE PAPAGAIO PARA PORTA DE CORRER INTERNA, CHAVE BIPARTIDA, ACABAMENTO PADRAO MEDIO</v>
          </cell>
          <cell r="C1262" t="str">
            <v>UN</v>
          </cell>
          <cell r="D1262">
            <v>89.74</v>
          </cell>
        </row>
        <row r="1263">
          <cell r="A1263">
            <v>84884</v>
          </cell>
          <cell r="B1263" t="str">
            <v>FECHADURA CILINDRO CENTRAL TUBULAR, 70MM, COM MACANETA DE LATAO CROMADO PARA PORTA DIVISORIA</v>
          </cell>
          <cell r="C1263" t="str">
            <v>UN</v>
          </cell>
          <cell r="D1263">
            <v>591.51</v>
          </cell>
        </row>
        <row r="1264">
          <cell r="A1264">
            <v>84885</v>
          </cell>
          <cell r="B1264" t="str">
            <v>JOGO DE FERRAGENS CROMADAS PARA PORTA DE VIDRO TEMPERADO, UMA FOLHA COMPOSTO DE DOBRADICAS SUPERIOR E INFERIOR, TRINCO, FECHADURA, CONTRA FECHADURA COM CAPUCHINHO SEM MOLA E PUXADOR</v>
          </cell>
          <cell r="C1264" t="str">
            <v>UN</v>
          </cell>
          <cell r="D1264">
            <v>435.29</v>
          </cell>
        </row>
        <row r="1265">
          <cell r="A1265">
            <v>84886</v>
          </cell>
          <cell r="B1265" t="str">
            <v>MOLA HIDRAULICA DE PISO PARA PORTA DE VIDRO TEMPERADO</v>
          </cell>
          <cell r="C1265" t="str">
            <v>UN</v>
          </cell>
          <cell r="D1265">
            <v>905.15</v>
          </cell>
        </row>
        <row r="1266">
          <cell r="A1266">
            <v>84887</v>
          </cell>
          <cell r="B1266" t="str">
            <v>MACANETA TIPO ALAVANCA, PADRAO MEDIO</v>
          </cell>
          <cell r="C1266" t="str">
            <v>UN</v>
          </cell>
          <cell r="D1266">
            <v>47.34</v>
          </cell>
        </row>
        <row r="1267">
          <cell r="A1267">
            <v>84889</v>
          </cell>
          <cell r="B1267" t="str">
            <v>PUXADOR CENTRAL PARA ESQUADRIA DE ALUMINIO</v>
          </cell>
          <cell r="C1267" t="str">
            <v>UN</v>
          </cell>
          <cell r="D1267">
            <v>15.83</v>
          </cell>
        </row>
        <row r="1268">
          <cell r="A1268">
            <v>84890</v>
          </cell>
          <cell r="B1268" t="str">
            <v>ROLDANA FIXA DUPLA DE LATAO COM ROLAMENTO PARA PORTA OU JANELA DE CORRER</v>
          </cell>
          <cell r="C1268" t="str">
            <v>UN</v>
          </cell>
          <cell r="D1268">
            <v>35.770000000000003</v>
          </cell>
        </row>
        <row r="1269">
          <cell r="A1269">
            <v>84891</v>
          </cell>
          <cell r="B1269" t="str">
            <v>CREMONA EM LATAO CROMADO OU POLIDO, COMPLETA, COM VARA H=1,50M</v>
          </cell>
          <cell r="C1269" t="str">
            <v>UN</v>
          </cell>
          <cell r="D1269">
            <v>112.88</v>
          </cell>
        </row>
        <row r="1270">
          <cell r="A1270">
            <v>84892</v>
          </cell>
          <cell r="B1270" t="str">
            <v>LEVANTADOR EM LATAO FUNDIDO CROMADO E BORBOLETA EM FERRO CROMADO, PARA JANELA TIPO GUILHOTINA</v>
          </cell>
          <cell r="C1270" t="str">
            <v>UN</v>
          </cell>
          <cell r="D1270">
            <v>66.430000000000007</v>
          </cell>
        </row>
        <row r="1271">
          <cell r="A1271">
            <v>84893</v>
          </cell>
          <cell r="B1271" t="str">
            <v>PUXADOR TUBULAR DE CENTRO EM LATAO CROMADO PARA JANELAS</v>
          </cell>
          <cell r="C1271" t="str">
            <v>UN</v>
          </cell>
          <cell r="D1271">
            <v>47.4</v>
          </cell>
        </row>
        <row r="1272">
          <cell r="A1272">
            <v>84894</v>
          </cell>
          <cell r="B1272" t="str">
            <v>PUXADOR CONCHA EM LATAO CROMADO OU POLIDO PARA PORTA OU JANELA DE CORRER, COM FURO PARA CHAVE, 4X10CM</v>
          </cell>
          <cell r="C1272" t="str">
            <v>UN</v>
          </cell>
          <cell r="D1272">
            <v>15.66</v>
          </cell>
        </row>
        <row r="1273">
          <cell r="A1273">
            <v>84895</v>
          </cell>
          <cell r="B1273" t="str">
            <v>PUXADOR CONCHA EM LATAO CROMADO OU POLIDO PARA PORTA OU JANELA DE CORRER, 3X9CM</v>
          </cell>
          <cell r="C1273" t="str">
            <v>UN</v>
          </cell>
          <cell r="D1273">
            <v>85.88</v>
          </cell>
        </row>
        <row r="1274">
          <cell r="A1274">
            <v>84896</v>
          </cell>
          <cell r="B1274" t="str">
            <v>CARRANCA DE FERRO CROMADO 40MM PARA JANELA DE ABRIR</v>
          </cell>
          <cell r="C1274" t="str">
            <v>UN</v>
          </cell>
          <cell r="D1274">
            <v>44.51</v>
          </cell>
        </row>
        <row r="1275">
          <cell r="A1275">
            <v>84897</v>
          </cell>
          <cell r="B1275" t="str">
            <v>TRILHO QUADRADO DE ALUMINIO 1/4" PARA RODIZIOS</v>
          </cell>
          <cell r="C1275" t="str">
            <v>M</v>
          </cell>
          <cell r="D1275">
            <v>23.8</v>
          </cell>
        </row>
        <row r="1276">
          <cell r="A1276">
            <v>84898</v>
          </cell>
          <cell r="B1276" t="str">
            <v>TRILHO "U" DE ALUMINIO, 40X40MM E ROLDANA FIXA DUPLA DE LATAO COM ROLAMENTO PARA PORTA OU JANELA DE CORRER</v>
          </cell>
          <cell r="C1276" t="str">
            <v>M</v>
          </cell>
          <cell r="D1276">
            <v>18.55</v>
          </cell>
        </row>
        <row r="1277">
          <cell r="A1277">
            <v>84899</v>
          </cell>
          <cell r="B1277" t="str">
            <v>FECHO CHATO DE SOBREPOR EM FERRO ZINCADO/NIQUEL GALVANIZADO OU POLIDO, 5"</v>
          </cell>
          <cell r="C1277" t="str">
            <v>UN</v>
          </cell>
          <cell r="D1277">
            <v>11.85</v>
          </cell>
        </row>
        <row r="1278">
          <cell r="A1278" t="str">
            <v>74046/1</v>
          </cell>
          <cell r="B1278" t="str">
            <v>TARJETA DE FERRO CROMADO DE SOBREPOR 2"</v>
          </cell>
          <cell r="C1278" t="str">
            <v>UN</v>
          </cell>
          <cell r="D1278">
            <v>6.33</v>
          </cell>
        </row>
        <row r="1279">
          <cell r="A1279" t="str">
            <v>74046/2</v>
          </cell>
          <cell r="B1279" t="str">
            <v>TARJETA TIPO LIVRE/OCUPADO PARA PORTA DE BANHEIRO</v>
          </cell>
          <cell r="C1279" t="str">
            <v>UN</v>
          </cell>
          <cell r="D1279">
            <v>30.29</v>
          </cell>
        </row>
        <row r="1280">
          <cell r="A1280" t="str">
            <v>74047/1</v>
          </cell>
          <cell r="B1280" t="str">
            <v>DOBRADICA EM FERRO CROMADO 3X3", SEM ANEIS</v>
          </cell>
          <cell r="C1280" t="str">
            <v>UN</v>
          </cell>
          <cell r="D1280">
            <v>10.93</v>
          </cell>
        </row>
        <row r="1281">
          <cell r="A1281" t="str">
            <v>74047/2</v>
          </cell>
          <cell r="B1281" t="str">
            <v>DOBRADICA EM ACO ZINCADO 3X3", SEM ANEIS</v>
          </cell>
          <cell r="C1281" t="str">
            <v>UN</v>
          </cell>
          <cell r="D1281">
            <v>10.99</v>
          </cell>
        </row>
        <row r="1282">
          <cell r="A1282" t="str">
            <v>74047/3</v>
          </cell>
          <cell r="B1282" t="str">
            <v>DOBRADICA EM LATAO CROMADO 3X3", COM ANEIS</v>
          </cell>
          <cell r="C1282" t="str">
            <v>UN</v>
          </cell>
          <cell r="D1282">
            <v>23.57</v>
          </cell>
        </row>
        <row r="1283">
          <cell r="A1283" t="str">
            <v>74047/4</v>
          </cell>
          <cell r="B1283" t="str">
            <v>DOBRADICA EM LATAO CROMADO 3 X 2 1/2</v>
          </cell>
          <cell r="C1283" t="str">
            <v>UN</v>
          </cell>
          <cell r="D1283">
            <v>15.33</v>
          </cell>
        </row>
        <row r="1284">
          <cell r="A1284" t="str">
            <v>74047/5</v>
          </cell>
          <cell r="B1284" t="str">
            <v>DOBRADICA EM FERRO GALVANIZADO 1 3/4 X2, SEM ANEIS</v>
          </cell>
          <cell r="C1284" t="str">
            <v>UN</v>
          </cell>
          <cell r="D1284">
            <v>7.02</v>
          </cell>
        </row>
        <row r="1285">
          <cell r="A1285" t="str">
            <v>74047/6</v>
          </cell>
          <cell r="B1285" t="str">
            <v>DOBRADICA EM FERRO CROMADO 2X1", SEM ANEIS</v>
          </cell>
          <cell r="C1285" t="str">
            <v>UN</v>
          </cell>
          <cell r="D1285">
            <v>10.119999999999999</v>
          </cell>
        </row>
        <row r="1286">
          <cell r="A1286" t="str">
            <v>74047/7</v>
          </cell>
          <cell r="B1286" t="str">
            <v>DOBRADICA EM FERRO CROMADO 3X2 1/2", SEM ANEIS</v>
          </cell>
          <cell r="C1286" t="str">
            <v>UN</v>
          </cell>
          <cell r="D1286">
            <v>9.85</v>
          </cell>
        </row>
        <row r="1287">
          <cell r="A1287" t="str">
            <v>74047/8</v>
          </cell>
          <cell r="B1287" t="str">
            <v>DOBRADICA EM FERRO GALVANIZADO 4X3", COM ANEIS</v>
          </cell>
          <cell r="C1287" t="str">
            <v>UN</v>
          </cell>
          <cell r="D1287">
            <v>10.34</v>
          </cell>
        </row>
        <row r="1288">
          <cell r="A1288" t="str">
            <v>74084/1</v>
          </cell>
          <cell r="B1288" t="str">
            <v>PORTA CADEADO ZINCADO OXIDADO PRETO COM CADEADO DE ACO GRAFITADO OXIDADO ENVERNIZADO 45MM</v>
          </cell>
          <cell r="C1288" t="str">
            <v>UN</v>
          </cell>
          <cell r="D1288">
            <v>35.979999999999997</v>
          </cell>
        </row>
        <row r="1289">
          <cell r="A1289">
            <v>84950</v>
          </cell>
          <cell r="B1289" t="str">
            <v>FECHO EMBUTIR TIPO UNHA 40CM C/COLOCACAO</v>
          </cell>
          <cell r="C1289" t="str">
            <v>UN</v>
          </cell>
          <cell r="D1289">
            <v>67.17</v>
          </cell>
        </row>
        <row r="1290">
          <cell r="A1290">
            <v>84952</v>
          </cell>
          <cell r="B1290" t="str">
            <v>FECHO EMBUTIR TIPO UNHA 22CM C/COLOCACAO</v>
          </cell>
          <cell r="C1290" t="str">
            <v>UN</v>
          </cell>
          <cell r="D1290">
            <v>56.28</v>
          </cell>
        </row>
        <row r="1291">
          <cell r="A1291">
            <v>84955</v>
          </cell>
          <cell r="B1291" t="str">
            <v>FECHADURA CROMADA COM CILINDRO PARA ARMARIOS</v>
          </cell>
          <cell r="C1291" t="str">
            <v>UN</v>
          </cell>
          <cell r="D1291">
            <v>73.34</v>
          </cell>
        </row>
        <row r="1292">
          <cell r="A1292">
            <v>72116</v>
          </cell>
          <cell r="B1292" t="str">
            <v>VIDRO LISO COMUM TRANSPARENTE, ESPESSURA 3MM</v>
          </cell>
          <cell r="C1292" t="str">
            <v>M2</v>
          </cell>
          <cell r="D1292">
            <v>62.51</v>
          </cell>
        </row>
        <row r="1293">
          <cell r="A1293">
            <v>72117</v>
          </cell>
          <cell r="B1293" t="str">
            <v>VIDRO LISO COMUM TRANSPARENTE, ESPESSURA 4MM</v>
          </cell>
          <cell r="C1293" t="str">
            <v>M2</v>
          </cell>
          <cell r="D1293">
            <v>80.44</v>
          </cell>
        </row>
        <row r="1294">
          <cell r="A1294">
            <v>72118</v>
          </cell>
          <cell r="B1294" t="str">
            <v>VIDRO TEMPERADO INCOLOR, ESPESSURA 6MM, FORNECIMENTO E INSTALACAO, INCLUSIVE MASSA PARA VEDACAO</v>
          </cell>
          <cell r="C1294" t="str">
            <v>M2</v>
          </cell>
          <cell r="D1294">
            <v>162.21</v>
          </cell>
        </row>
        <row r="1295">
          <cell r="A1295">
            <v>72119</v>
          </cell>
          <cell r="B1295" t="str">
            <v>VIDRO TEMPERADO INCOLOR, ESPESSURA 8MM, FORNECIMENTO E INSTALACAO, INCLUSIVE MASSA PARA VEDACAO</v>
          </cell>
          <cell r="C1295" t="str">
            <v>M2</v>
          </cell>
          <cell r="D1295">
            <v>192.01</v>
          </cell>
        </row>
        <row r="1296">
          <cell r="A1296">
            <v>72120</v>
          </cell>
          <cell r="B1296" t="str">
            <v>VIDRO TEMPERADO INCOLOR, ESPESSURA 10MM, FORNECIMENTO E INSTALACAO, INCLUSIVE MASSA PARA VEDACAO</v>
          </cell>
          <cell r="C1296" t="str">
            <v>M2</v>
          </cell>
          <cell r="D1296">
            <v>225.57</v>
          </cell>
        </row>
        <row r="1297">
          <cell r="A1297">
            <v>72121</v>
          </cell>
          <cell r="B1297" t="str">
            <v>VIDRO TEMPERADO COLORIDO VERDE, ESPESSURA 10MM, FORNECIMENTO E INSTALACAO, INCLUSIVE MASSA PARA VEDACAO</v>
          </cell>
          <cell r="C1297" t="str">
            <v>M2</v>
          </cell>
          <cell r="D1297">
            <v>267.81</v>
          </cell>
        </row>
        <row r="1298">
          <cell r="A1298">
            <v>72122</v>
          </cell>
          <cell r="B1298" t="str">
            <v>VIDRO FANTASIA TIPO CANELADO, ESPESSURA 4MM</v>
          </cell>
          <cell r="C1298" t="str">
            <v>M2</v>
          </cell>
          <cell r="D1298">
            <v>63.44</v>
          </cell>
        </row>
        <row r="1299">
          <cell r="A1299">
            <v>72123</v>
          </cell>
          <cell r="B1299" t="str">
            <v>VIDRO ARAMADO, ESPESSURA 7MM</v>
          </cell>
          <cell r="C1299" t="str">
            <v>M2</v>
          </cell>
          <cell r="D1299">
            <v>205.11</v>
          </cell>
        </row>
        <row r="1300">
          <cell r="A1300" t="str">
            <v>73838/1</v>
          </cell>
          <cell r="B1300" t="str">
            <v>PORTA DE VIDRO TEMPERADO, 0,9X2,10M, ESPESSURA 10MM, INCLUSIVE ACESSORIOS</v>
          </cell>
          <cell r="C1300" t="str">
            <v>UN</v>
          </cell>
          <cell r="D1300">
            <v>1606.28</v>
          </cell>
        </row>
        <row r="1301">
          <cell r="A1301" t="str">
            <v>74125/1</v>
          </cell>
          <cell r="B1301" t="str">
            <v>ESPELHO CRISTAL ESPESSURA 4MM, COM MOLDURA DE MADEIRA</v>
          </cell>
          <cell r="C1301" t="str">
            <v>M2</v>
          </cell>
          <cell r="D1301">
            <v>223.07</v>
          </cell>
        </row>
        <row r="1302">
          <cell r="A1302" t="str">
            <v>74125/2</v>
          </cell>
          <cell r="B1302" t="str">
            <v>ESPELHO CRISTAL ESPESSURA 4MM, COM MOLDURA EM ALUMINIO E COMPENSADO 6MM PLASTIFICADO COLADO</v>
          </cell>
          <cell r="C1302" t="str">
            <v>M2</v>
          </cell>
          <cell r="D1302">
            <v>269.72000000000003</v>
          </cell>
        </row>
        <row r="1303">
          <cell r="A1303">
            <v>84957</v>
          </cell>
          <cell r="B1303" t="str">
            <v>VIDRO LISO COMUM TRANSPARENTE, ESPESSURA 5MM</v>
          </cell>
          <cell r="C1303" t="str">
            <v>M2</v>
          </cell>
          <cell r="D1303">
            <v>106.44</v>
          </cell>
        </row>
        <row r="1304">
          <cell r="A1304">
            <v>84959</v>
          </cell>
          <cell r="B1304" t="str">
            <v>VIDRO LISO COMUM TRANSPARENTE, ESPESSURA 6MM</v>
          </cell>
          <cell r="C1304" t="str">
            <v>M2</v>
          </cell>
          <cell r="D1304">
            <v>150.61000000000001</v>
          </cell>
        </row>
        <row r="1305">
          <cell r="A1305">
            <v>85001</v>
          </cell>
          <cell r="B1305" t="str">
            <v>VIDRO LISO FUME, ESPESSURA 4MM</v>
          </cell>
          <cell r="C1305" t="str">
            <v>M2</v>
          </cell>
          <cell r="D1305">
            <v>108.11</v>
          </cell>
        </row>
        <row r="1306">
          <cell r="A1306">
            <v>85002</v>
          </cell>
          <cell r="B1306" t="str">
            <v>VIDRO LISO FUME, ESPESSURA 6MM</v>
          </cell>
          <cell r="C1306" t="str">
            <v>M2</v>
          </cell>
          <cell r="D1306">
            <v>168.11</v>
          </cell>
        </row>
        <row r="1307">
          <cell r="A1307">
            <v>85004</v>
          </cell>
          <cell r="B1307" t="str">
            <v>VIDRO FANTASIA MARTELADO 4MM</v>
          </cell>
          <cell r="C1307" t="str">
            <v>M2</v>
          </cell>
          <cell r="D1307">
            <v>68.11</v>
          </cell>
        </row>
        <row r="1308">
          <cell r="A1308">
            <v>85005</v>
          </cell>
          <cell r="B1308" t="str">
            <v>ESPELHO CRISTAL, ESPESSURA 4MM, COM PARAFUSOS DE FIXACAO, SEM MOLDURA</v>
          </cell>
          <cell r="C1308" t="str">
            <v>M2</v>
          </cell>
          <cell r="D1308">
            <v>205.53</v>
          </cell>
        </row>
        <row r="1309">
          <cell r="A1309">
            <v>68054</v>
          </cell>
          <cell r="B1309" t="str">
            <v>PORTAO DE FERRO EM CHAPA GALVANIZADA PLANA 14 GSG</v>
          </cell>
          <cell r="C1309" t="str">
            <v>M2</v>
          </cell>
          <cell r="D1309">
            <v>145.24</v>
          </cell>
        </row>
        <row r="1310">
          <cell r="A1310" t="str">
            <v>74100/1</v>
          </cell>
          <cell r="B1310" t="str">
            <v>PORTAO DE FERRO COM VARA 1/2", COM REQUADRO</v>
          </cell>
          <cell r="C1310" t="str">
            <v>M2</v>
          </cell>
          <cell r="D1310">
            <v>190.04</v>
          </cell>
        </row>
        <row r="1311">
          <cell r="A1311" t="str">
            <v>74238/2</v>
          </cell>
          <cell r="B1311" t="str">
            <v>PORTAO EM TELA ARAME GALVANIZADO N.12 MALHA 2" E MOLDURA EM TUBOS DE ACO COM DUAS FOLHAS DE ABRIR, INCLUSO FERRAGENS</v>
          </cell>
          <cell r="C1311" t="str">
            <v>M2</v>
          </cell>
          <cell r="D1311">
            <v>638.92999999999995</v>
          </cell>
        </row>
        <row r="1312">
          <cell r="A1312">
            <v>85188</v>
          </cell>
          <cell r="B1312" t="str">
            <v>PORTAO EM TUBO DE ACO GALVANIZADO DIN 2440/NBR 5580, PAINEL UNICO, DIMENSOES 1,0X1,6M, INCLUSIVE CADEADO</v>
          </cell>
          <cell r="C1312" t="str">
            <v>UN</v>
          </cell>
          <cell r="D1312">
            <v>434.15</v>
          </cell>
        </row>
        <row r="1313">
          <cell r="A1313">
            <v>85189</v>
          </cell>
          <cell r="B1313" t="str">
            <v>PORTAO EM TUBO DE ACO GALVANIZADO DIN 2440/NBR 5580, PAINEL UNICO, DIMENSOES 4,0X1,2M, INCLUSIVE CADEADO</v>
          </cell>
          <cell r="C1313" t="str">
            <v>UN</v>
          </cell>
          <cell r="D1313">
            <v>991.34</v>
          </cell>
        </row>
        <row r="1314">
          <cell r="A1314">
            <v>85190</v>
          </cell>
          <cell r="B1314" t="str">
            <v>PORTAO PARA VEICULOS EM BARRAS DE FERRO RETANGULAR CHATA E TELA DE ARAME GALVANIZADO, FIO 8 BWG, MALHA QUADRADA 5X5CM, INCLUSIVE CADEADO E PINTURA PVA EM PILARES DE APOIO DE CONCRETO</v>
          </cell>
          <cell r="C1314" t="str">
            <v>UN</v>
          </cell>
          <cell r="D1314">
            <v>2079.91</v>
          </cell>
        </row>
        <row r="1315">
          <cell r="A1315">
            <v>85191</v>
          </cell>
          <cell r="B1315" t="str">
            <v>PORTAO PARA PEDESTRES EM BARRAS DE FERRO RETANGULAR CHATA E TELA DE ARAME GALVANIZADO, FIO 8 BWG, MALHA QUADRADA 5X5CM, INCLUSIVE CADEADO E PINTURA PVA EM PILARES DE APOIO DE CONCRETO</v>
          </cell>
          <cell r="C1315" t="str">
            <v>UN</v>
          </cell>
          <cell r="D1315">
            <v>865.32</v>
          </cell>
        </row>
        <row r="1316">
          <cell r="A1316">
            <v>68052</v>
          </cell>
          <cell r="B1316" t="str">
            <v>JANELA BASCULANTE DE ALUMINIO</v>
          </cell>
          <cell r="C1316" t="str">
            <v>M2</v>
          </cell>
          <cell r="D1316">
            <v>578.19000000000005</v>
          </cell>
        </row>
        <row r="1317">
          <cell r="A1317" t="str">
            <v>73809/1</v>
          </cell>
          <cell r="B1317" t="str">
            <v>JANELA DE ALUMINIO TIPO MAXIM AR, INCLUSO GUARNICOES E VIDRO FANTASIA</v>
          </cell>
          <cell r="C1317" t="str">
            <v>M2</v>
          </cell>
          <cell r="D1317">
            <v>622.16999999999996</v>
          </cell>
        </row>
        <row r="1318">
          <cell r="A1318" t="str">
            <v>74067/1</v>
          </cell>
          <cell r="B1318" t="str">
            <v>JANELA DE CORRER EM ALUMINIO, COM QUATRO FOLHAS PARA VIDRO, DUAS FIXAS E DUAS MOVEIS, INCLUSO GUARNICAO E VIDRO LISO INCOLOR</v>
          </cell>
          <cell r="C1318" t="str">
            <v>M2</v>
          </cell>
          <cell r="D1318">
            <v>577.24</v>
          </cell>
        </row>
        <row r="1319">
          <cell r="A1319" t="str">
            <v>74067/2</v>
          </cell>
          <cell r="B1319" t="str">
            <v>JANELA DE CORRER EM ALUMINIO, FOLHAS PARA VIDRO, COM BANDEIRA, INCLUSO GUARNICAO E VIDRO LISO INCOLOR</v>
          </cell>
          <cell r="C1319" t="str">
            <v>M2</v>
          </cell>
          <cell r="D1319">
            <v>724.46</v>
          </cell>
        </row>
        <row r="1320">
          <cell r="A1320" t="str">
            <v>74067/3</v>
          </cell>
          <cell r="B1320" t="str">
            <v>JANELA DE CORRER EM ALUMINIO, VENEZIANA, COM BANDEIRA</v>
          </cell>
          <cell r="C1320" t="str">
            <v>M2</v>
          </cell>
          <cell r="D1320">
            <v>877.37</v>
          </cell>
        </row>
        <row r="1321">
          <cell r="A1321" t="str">
            <v>74067/4</v>
          </cell>
          <cell r="B1321" t="str">
            <v>JANELA DE CORRER EM ALUMINIO, VENEZIANA, SEM BANDEIRA</v>
          </cell>
          <cell r="C1321" t="str">
            <v>M2</v>
          </cell>
          <cell r="D1321">
            <v>760.94</v>
          </cell>
        </row>
        <row r="1322">
          <cell r="A1322">
            <v>85010</v>
          </cell>
          <cell r="B1322" t="str">
            <v>CAIXILHO FIXO, DE ALUMINIO, PARA VIDRO</v>
          </cell>
          <cell r="C1322" t="str">
            <v>M2</v>
          </cell>
          <cell r="D1322">
            <v>504.91</v>
          </cell>
        </row>
        <row r="1323">
          <cell r="A1323">
            <v>85014</v>
          </cell>
          <cell r="B1323" t="str">
            <v>CAIXILHO FIXO, DE ALUMINIO, COM TELA DE METAL FIO 12 MALHA 3X3CM</v>
          </cell>
          <cell r="C1323" t="str">
            <v>M2</v>
          </cell>
          <cell r="D1323">
            <v>552.11</v>
          </cell>
        </row>
        <row r="1324">
          <cell r="A1324" t="str">
            <v>73908/1</v>
          </cell>
          <cell r="B1324" t="str">
            <v>CANTONEIRA DE ALUMINIO 2"X2", PARA PROTECAO DE QUINA DE PAREDE</v>
          </cell>
          <cell r="C1324" t="str">
            <v>M</v>
          </cell>
          <cell r="D1324">
            <v>27.82</v>
          </cell>
        </row>
        <row r="1325">
          <cell r="A1325" t="str">
            <v>73908/2</v>
          </cell>
          <cell r="B1325" t="str">
            <v>CANTONEIRA DE ALUMINIO 1"X1, PARA PROTECAO DE QUINA DE PAREDE</v>
          </cell>
          <cell r="C1325" t="str">
            <v>M</v>
          </cell>
          <cell r="D1325">
            <v>20.440000000000001</v>
          </cell>
        </row>
        <row r="1326">
          <cell r="A1326">
            <v>85015</v>
          </cell>
          <cell r="B1326" t="str">
            <v>CANTONEIRA DE MADEIRA 3,0X3,0X1,0CM</v>
          </cell>
          <cell r="C1326" t="str">
            <v>M</v>
          </cell>
          <cell r="D1326">
            <v>11.31</v>
          </cell>
        </row>
        <row r="1327">
          <cell r="A1327">
            <v>85016</v>
          </cell>
          <cell r="B1327" t="str">
            <v>CANTONEIRA DE MADEIRA COM LAMINADO MELAMINICO FOSCO 3,0X3,0X1,0CM</v>
          </cell>
          <cell r="C1327" t="str">
            <v>M</v>
          </cell>
          <cell r="D1327">
            <v>14.41</v>
          </cell>
        </row>
        <row r="1328">
          <cell r="A1328">
            <v>85024</v>
          </cell>
          <cell r="B1328" t="str">
            <v>CANTONEIRA "L" EM FERRO GALVANIZADO 1X1/8"</v>
          </cell>
          <cell r="C1328" t="str">
            <v>M</v>
          </cell>
          <cell r="D1328">
            <v>209.23</v>
          </cell>
        </row>
        <row r="1329">
          <cell r="A1329" t="str">
            <v>74119/1</v>
          </cell>
          <cell r="B1329" t="str">
            <v>FORNECIMENTO E ASSENTAMENTO DE BRITA 2-DRENOS E FILTROS   MM</v>
          </cell>
          <cell r="C1329" t="str">
            <v>M3</v>
          </cell>
          <cell r="D1329">
            <v>64.81</v>
          </cell>
        </row>
        <row r="1330">
          <cell r="A1330">
            <v>73713</v>
          </cell>
          <cell r="B1330" t="str">
            <v>ARRASAMENTO DE TUBULAO DE CONCRETO D=1,00 A 1,20M. (INCLUI ENCARREGADO).</v>
          </cell>
          <cell r="C1330" t="str">
            <v>UN</v>
          </cell>
          <cell r="D1330">
            <v>327.52</v>
          </cell>
        </row>
        <row r="1331">
          <cell r="A1331" t="str">
            <v>73761/1</v>
          </cell>
          <cell r="B1331" t="str">
            <v>ARRASAMENTO DE TUBULAO DE CONCRETO D=0,80M.</v>
          </cell>
          <cell r="C1331" t="str">
            <v>UN</v>
          </cell>
          <cell r="D1331">
            <v>218.34</v>
          </cell>
        </row>
        <row r="1332">
          <cell r="A1332" t="str">
            <v>73761/2</v>
          </cell>
          <cell r="B1332" t="str">
            <v>ARRASAMENTO DE TUBULAO DE CONCRETO D=1,25 A 1,40M.</v>
          </cell>
          <cell r="C1332" t="str">
            <v>UN</v>
          </cell>
          <cell r="D1332">
            <v>378.47</v>
          </cell>
        </row>
        <row r="1333">
          <cell r="A1333" t="str">
            <v>73761/3</v>
          </cell>
          <cell r="B1333" t="str">
            <v>ARRASAMENTO DE TUBULAO DE CONCRETO D=1,45 A 1,60M.</v>
          </cell>
          <cell r="C1333" t="str">
            <v>UN</v>
          </cell>
          <cell r="D1333">
            <v>436.69</v>
          </cell>
        </row>
        <row r="1334">
          <cell r="A1334" t="str">
            <v>73761/4</v>
          </cell>
          <cell r="B1334" t="str">
            <v>ARRASAMENTO DE TUBULAO DE CONCRETO D=1,65 A 2,00M.</v>
          </cell>
          <cell r="C1334" t="str">
            <v>UN</v>
          </cell>
          <cell r="D1334">
            <v>545.87</v>
          </cell>
        </row>
        <row r="1335">
          <cell r="A1335" t="str">
            <v>73761/5</v>
          </cell>
          <cell r="B1335" t="str">
            <v>ARRASAMENTO DE TUBULAO DE CONCRETO D=2,10 A 2,50M.</v>
          </cell>
          <cell r="C1335" t="str">
            <v>UN</v>
          </cell>
          <cell r="D1335">
            <v>676.88</v>
          </cell>
        </row>
        <row r="1336">
          <cell r="A1336">
            <v>79475</v>
          </cell>
          <cell r="B1336" t="str">
            <v>ESCAVACAO MANUAL CAMPO ABERTO P/TUBULAO - FUSTE E/OU BASE (PARA TODAS AS PROFUNDIDADES)</v>
          </cell>
          <cell r="C1336" t="str">
            <v>M3</v>
          </cell>
          <cell r="D1336">
            <v>213.01</v>
          </cell>
        </row>
        <row r="1337">
          <cell r="A1337">
            <v>72819</v>
          </cell>
          <cell r="B1337" t="str">
            <v>ESTACA A TRADO (BROCA) DIAMETRO 30CM EM CONCRETO ARMADO MOLDADA IN-LOCO, 20 MPA</v>
          </cell>
          <cell r="C1337" t="str">
            <v>M</v>
          </cell>
          <cell r="D1337">
            <v>63.65</v>
          </cell>
        </row>
        <row r="1338">
          <cell r="A1338">
            <v>72820</v>
          </cell>
          <cell r="B1338" t="str">
            <v>CORTE E PREPARO EM CABECA DE ESTACA</v>
          </cell>
          <cell r="C1338" t="str">
            <v>UN</v>
          </cell>
          <cell r="D1338">
            <v>25.69</v>
          </cell>
        </row>
        <row r="1339">
          <cell r="A1339" t="str">
            <v>74122/1</v>
          </cell>
          <cell r="B1339" t="str">
            <v>ESTACA PRE-MOLDADA CONCRETO ARMADO 20 T, INCLUSIVE CRAVACAO/EMENDAS.</v>
          </cell>
          <cell r="C1339" t="str">
            <v>M</v>
          </cell>
          <cell r="D1339">
            <v>80.34</v>
          </cell>
        </row>
        <row r="1340">
          <cell r="A1340" t="str">
            <v>74156/1</v>
          </cell>
          <cell r="B1340" t="str">
            <v>ESTACA A TRADO(BROCA) D=25CM C/CONCRETO FCK=15MPA+20KG ACO/M3       MOLD.IN-LOCO</v>
          </cell>
          <cell r="C1340" t="str">
            <v>M</v>
          </cell>
          <cell r="D1340">
            <v>40.950000000000003</v>
          </cell>
        </row>
        <row r="1341">
          <cell r="A1341" t="str">
            <v>74156/2</v>
          </cell>
          <cell r="B1341" t="str">
            <v>ESTACA A TRADO (BROCA) DIAMETRO = 25 CM, EM CONCRETO MOLDADO IN LOCO, 15 MPA, SEM ARMACAO.</v>
          </cell>
          <cell r="C1341" t="str">
            <v>M</v>
          </cell>
          <cell r="D1341">
            <v>36.020000000000003</v>
          </cell>
        </row>
        <row r="1342">
          <cell r="A1342" t="str">
            <v>74156/3</v>
          </cell>
          <cell r="B1342" t="str">
            <v>ESTACA A TRADO (BROCA) DIAMETRO = 20 CM, EM CONCRETO MOLDADO IN LOCO, 15 MPA, SEM ARMACAO.</v>
          </cell>
          <cell r="C1342" t="str">
            <v>M</v>
          </cell>
          <cell r="D1342">
            <v>30.82</v>
          </cell>
        </row>
        <row r="1343">
          <cell r="A1343" t="str">
            <v>79501/1</v>
          </cell>
          <cell r="B1343" t="str">
            <v>FORNECIMENTO DE PERFIL DUPLO"I"OU"H" ATE 8"INCL EMENDA LONG O CUSTO JAESTA MULTIPLICADO POR 2(DOIS).</v>
          </cell>
          <cell r="C1343" t="str">
            <v>KG</v>
          </cell>
          <cell r="D1343">
            <v>10.029999999999999</v>
          </cell>
        </row>
        <row r="1344">
          <cell r="A1344" t="str">
            <v>79501/2</v>
          </cell>
          <cell r="B1344" t="str">
            <v>FORNECIMENTO PERFIL DUPLO"I"OU"H" 8"ATE 12" INCL EMENDA LONG O CUSTO  JA ESTA MULTIPLICADO POR 2(DOIS).</v>
          </cell>
          <cell r="C1344" t="str">
            <v>KG</v>
          </cell>
          <cell r="D1344">
            <v>8.51</v>
          </cell>
        </row>
        <row r="1345">
          <cell r="A1345">
            <v>83494</v>
          </cell>
          <cell r="B1345" t="str">
            <v>ESTACA TP FRANKI D=35 CM P/CARGA 55 T S/BATE ESTACA</v>
          </cell>
          <cell r="C1345" t="str">
            <v>M</v>
          </cell>
          <cell r="D1345">
            <v>188.57</v>
          </cell>
        </row>
        <row r="1346">
          <cell r="A1346">
            <v>83495</v>
          </cell>
          <cell r="B1346" t="str">
            <v>ESTACA TP FRANKI D=40 CM P/CARGA 75T S/BATE ESTACA</v>
          </cell>
          <cell r="C1346" t="str">
            <v>M</v>
          </cell>
          <cell r="D1346">
            <v>217.5</v>
          </cell>
        </row>
        <row r="1347">
          <cell r="A1347">
            <v>83498</v>
          </cell>
          <cell r="B1347" t="str">
            <v>ESTACA TP FRANKI D=52 CM P/CARGA 130T S/BATE ESTACA</v>
          </cell>
          <cell r="C1347" t="str">
            <v>M</v>
          </cell>
          <cell r="D1347">
            <v>373.08</v>
          </cell>
        </row>
        <row r="1348">
          <cell r="A1348">
            <v>83500</v>
          </cell>
          <cell r="B1348" t="str">
            <v>ESTACA TP FRANKI D=60 CM P/CARGA 170T S/BATE ESTACA</v>
          </cell>
          <cell r="C1348" t="str">
            <v>M</v>
          </cell>
          <cell r="D1348">
            <v>454.81</v>
          </cell>
        </row>
        <row r="1349">
          <cell r="A1349">
            <v>83501</v>
          </cell>
          <cell r="B1349" t="str">
            <v>ESTACA CONCRETO ARMADO CENTRIFUGADO D=20 CM, 25 A 30T INCL CRAVACAO/EMENDAS</v>
          </cell>
          <cell r="C1349" t="str">
            <v>M</v>
          </cell>
          <cell r="D1349">
            <v>96.24</v>
          </cell>
        </row>
        <row r="1350">
          <cell r="A1350">
            <v>83502</v>
          </cell>
          <cell r="B1350" t="str">
            <v>ESTACA CONCRETO ARMADO CENTRIFUGADO D=28 CM INCLUSIVE CRAVACAO E SERVENTE</v>
          </cell>
          <cell r="C1350" t="str">
            <v>M</v>
          </cell>
          <cell r="D1350">
            <v>107.6</v>
          </cell>
        </row>
        <row r="1351">
          <cell r="A1351">
            <v>83503</v>
          </cell>
          <cell r="B1351" t="str">
            <v>ESTACA CONCRETO ARMADO CENTRIFUGADO D=33 CM, 60 A 75T, INCL CRAVACAO/EMENDAS</v>
          </cell>
          <cell r="C1351" t="str">
            <v>M</v>
          </cell>
          <cell r="D1351">
            <v>165.68</v>
          </cell>
        </row>
        <row r="1352">
          <cell r="A1352">
            <v>83504</v>
          </cell>
          <cell r="B1352" t="str">
            <v>ESTACA CONCRETO ARMADO CENTRIFUGADO D=38 CM, 75 A 90 T, INCL CRAVACAO/EMENDAS</v>
          </cell>
          <cell r="C1352" t="str">
            <v>M</v>
          </cell>
          <cell r="D1352">
            <v>202.46</v>
          </cell>
        </row>
        <row r="1353">
          <cell r="A1353">
            <v>83505</v>
          </cell>
          <cell r="B1353" t="str">
            <v>ESTACA CONCRETO ARMADO CENTRIFUGADO D=42 CM, 90 A 115T, INCL CRAVACAO/EMENDAS</v>
          </cell>
          <cell r="C1353" t="str">
            <v>M</v>
          </cell>
          <cell r="D1353">
            <v>245.06</v>
          </cell>
        </row>
        <row r="1354">
          <cell r="A1354">
            <v>83506</v>
          </cell>
          <cell r="B1354" t="str">
            <v>ESTACA CONCRETO ARMADO CENTRIFUGADO D=60 CM INCLUSIVE CRAVACAO E SERVENTE</v>
          </cell>
          <cell r="C1354" t="str">
            <v>M</v>
          </cell>
          <cell r="D1354">
            <v>385.64</v>
          </cell>
        </row>
        <row r="1355">
          <cell r="A1355">
            <v>83508</v>
          </cell>
          <cell r="B1355" t="str">
            <v>ESTACA PREMOLDADA CONCRETO ARMADO 25T INCL CRAVACAO/EMENDAS</v>
          </cell>
          <cell r="C1355" t="str">
            <v>M</v>
          </cell>
          <cell r="D1355">
            <v>84.4</v>
          </cell>
        </row>
        <row r="1356">
          <cell r="A1356">
            <v>83509</v>
          </cell>
          <cell r="B1356" t="str">
            <v>ESTACA PREMOLDADA CONCRETO ARMADO 32T INCL CRAVACAO/EMENDAS</v>
          </cell>
          <cell r="C1356" t="str">
            <v>M</v>
          </cell>
          <cell r="D1356">
            <v>105.9</v>
          </cell>
        </row>
        <row r="1357">
          <cell r="A1357">
            <v>83510</v>
          </cell>
          <cell r="B1357" t="str">
            <v>ESTACA PREMOLDADA CONCRETO ARMADO 38T INCL CRAVACAO/EMENDAS</v>
          </cell>
          <cell r="C1357" t="str">
            <v>M</v>
          </cell>
          <cell r="D1357">
            <v>112.43</v>
          </cell>
        </row>
        <row r="1358">
          <cell r="A1358">
            <v>83511</v>
          </cell>
          <cell r="B1358" t="str">
            <v>ESTACA PREMOLDADA CONCRETO ARMADO 50T INCL CRAVACAO/EMENDAS</v>
          </cell>
          <cell r="C1358" t="str">
            <v>M</v>
          </cell>
          <cell r="D1358">
            <v>144.24</v>
          </cell>
        </row>
        <row r="1359">
          <cell r="A1359">
            <v>83512</v>
          </cell>
          <cell r="B1359" t="str">
            <v>ESTACA PREMOLDADA CONCRETO ARMADO 62T INCL CRAVACAO/EMENDAS</v>
          </cell>
          <cell r="C1359" t="str">
            <v>M</v>
          </cell>
          <cell r="D1359">
            <v>157.30000000000001</v>
          </cell>
        </row>
        <row r="1360">
          <cell r="A1360">
            <v>73692</v>
          </cell>
          <cell r="B1360" t="str">
            <v>LASTRO DE AREIA MEDIA</v>
          </cell>
          <cell r="C1360" t="str">
            <v>M3</v>
          </cell>
          <cell r="D1360">
            <v>82.15</v>
          </cell>
        </row>
        <row r="1361">
          <cell r="A1361" t="str">
            <v>74164/4</v>
          </cell>
          <cell r="B1361" t="str">
            <v>LASTRO DE BRITA</v>
          </cell>
          <cell r="C1361" t="str">
            <v>M3</v>
          </cell>
          <cell r="D1361">
            <v>73.97</v>
          </cell>
        </row>
        <row r="1362">
          <cell r="A1362">
            <v>83532</v>
          </cell>
          <cell r="B1362" t="str">
            <v>LASTRO DE CONCRETO, PREPARO MECANICO</v>
          </cell>
          <cell r="C1362" t="str">
            <v>M3</v>
          </cell>
          <cell r="D1362">
            <v>279.01</v>
          </cell>
        </row>
        <row r="1363">
          <cell r="A1363">
            <v>83534</v>
          </cell>
          <cell r="B1363" t="str">
            <v>LASTRO DE CONCRETO, PREPARO MECANICO, INCLUSO ADITIVO IMPERMEABILIZANTE</v>
          </cell>
          <cell r="C1363" t="str">
            <v>M3</v>
          </cell>
          <cell r="D1363">
            <v>399.5</v>
          </cell>
        </row>
        <row r="1364">
          <cell r="A1364">
            <v>5651</v>
          </cell>
          <cell r="B1364" t="str">
            <v>FORMA TABUA PARA CONCRETO EM FUNDACAO C/ REAPROVEITAMENTO 5X</v>
          </cell>
          <cell r="C1364" t="str">
            <v>M2</v>
          </cell>
          <cell r="D1364">
            <v>22.07</v>
          </cell>
        </row>
        <row r="1365">
          <cell r="A1365">
            <v>5970</v>
          </cell>
          <cell r="B1365" t="str">
            <v>FORMA TABUA PARA CONCRETO EM FUNDACAO, C/ REAPROVEITAMENTO 2X.</v>
          </cell>
          <cell r="C1365" t="str">
            <v>M2</v>
          </cell>
          <cell r="D1365">
            <v>37.270000000000003</v>
          </cell>
        </row>
        <row r="1366">
          <cell r="A1366">
            <v>73653</v>
          </cell>
          <cell r="B1366" t="str">
            <v>FORMAS TIPO SANDUICHE COM TABUAS, 30 APROVEITAMENTOS</v>
          </cell>
          <cell r="C1366" t="str">
            <v>M2</v>
          </cell>
          <cell r="D1366">
            <v>9.8699999999999992</v>
          </cell>
        </row>
        <row r="1367">
          <cell r="A1367">
            <v>73685</v>
          </cell>
          <cell r="B1367" t="str">
            <v>EXECUCAO DE CIMBRAMENTO PARA ESCORAMENTO DE FORMAS ELEVADAS DE MADEIRA (LAJES E VIGAS), ACIMA DE 3,30 M DE PE DIREITO, COM PONTALETES (8,0 X 8,0 CM) DE MADEIRA DE LEI 1A QUALIDADE E PECAS DE MADEIRA DE 2,5 X 10,0 CM DE 2A QUALIDADE, NAO APARELHADA.</v>
          </cell>
          <cell r="C1367" t="str">
            <v>M3</v>
          </cell>
          <cell r="D1367">
            <v>24.31</v>
          </cell>
        </row>
        <row r="1368">
          <cell r="A1368" t="str">
            <v>73820/1</v>
          </cell>
          <cell r="B1368" t="str">
            <v>FORMA CURVA EM CHAPA DE MADEIRA COMPENSADA RESINADA 21 MM, PARA ESTRUTURAS DE CONCRETO.</v>
          </cell>
          <cell r="C1368" t="str">
            <v>M2</v>
          </cell>
          <cell r="D1368">
            <v>31.16</v>
          </cell>
        </row>
        <row r="1369">
          <cell r="A1369" t="str">
            <v>73821/1</v>
          </cell>
          <cell r="B1369" t="str">
            <v>FORMA CURVA EM TABUA 3A P/VIGA, PILAR E PAREDE.</v>
          </cell>
          <cell r="C1369" t="str">
            <v>M2</v>
          </cell>
          <cell r="D1369">
            <v>81.739999999999995</v>
          </cell>
        </row>
        <row r="1370">
          <cell r="A1370" t="str">
            <v>74007/1</v>
          </cell>
          <cell r="B1370" t="str">
            <v>FORMA TABUA P/ CONCRETO EM FUNDACAO C/ REAPROVEITAMENTO 10 X.</v>
          </cell>
          <cell r="C1370" t="str">
            <v>M2</v>
          </cell>
          <cell r="D1370">
            <v>17.61</v>
          </cell>
        </row>
        <row r="1371">
          <cell r="A1371" t="str">
            <v>74007/2</v>
          </cell>
          <cell r="B1371" t="str">
            <v>FORMA TABUAS MADEIRA 3A P/ PECAS CONCRETO ARM, REAPR 2X, INCL MONTAGEM E DESMONTAGEM.</v>
          </cell>
          <cell r="C1371" t="str">
            <v>M2</v>
          </cell>
          <cell r="D1371">
            <v>39.119999999999997</v>
          </cell>
        </row>
        <row r="1372">
          <cell r="A1372" t="str">
            <v>74074/4</v>
          </cell>
          <cell r="B1372" t="str">
            <v>FORMA TABUA P/CONCRETO EM FUNDACAO S/REAPROVEITAMENTO</v>
          </cell>
          <cell r="C1372" t="str">
            <v>M2</v>
          </cell>
          <cell r="D1372">
            <v>58.06</v>
          </cell>
        </row>
        <row r="1373">
          <cell r="A1373" t="str">
            <v>74076/1</v>
          </cell>
          <cell r="B1373" t="str">
            <v>FORMA TABUA P/ CONCRETO EM FUNDACAO RADIER C/ REAPROVEITAMENTO 3X.</v>
          </cell>
          <cell r="C1373" t="str">
            <v>M2</v>
          </cell>
          <cell r="D1373">
            <v>28.06</v>
          </cell>
        </row>
        <row r="1374">
          <cell r="A1374" t="str">
            <v>74076/2</v>
          </cell>
          <cell r="B1374" t="str">
            <v>FORMA TABUA P/ CONCRETO EM FUNDACAO RADIER C/ REAPROVEITAMENTO 5X.</v>
          </cell>
          <cell r="C1374" t="str">
            <v>M2</v>
          </cell>
          <cell r="D1374">
            <v>20.010000000000002</v>
          </cell>
        </row>
        <row r="1375">
          <cell r="A1375" t="str">
            <v>74076/3</v>
          </cell>
          <cell r="B1375" t="str">
            <v>FORMA TABUA P/ CONCRETO EM FUNDACAO RADIER C/ REAPROVEITAMENTO 10X.</v>
          </cell>
          <cell r="C1375" t="str">
            <v>M2</v>
          </cell>
          <cell r="D1375">
            <v>13.98</v>
          </cell>
        </row>
        <row r="1376">
          <cell r="A1376" t="str">
            <v>74107/1</v>
          </cell>
          <cell r="B1376" t="str">
            <v>ESCORAMENTO DE LAJE PRE-MOLDADA</v>
          </cell>
          <cell r="C1376" t="str">
            <v>M2</v>
          </cell>
          <cell r="D1376">
            <v>17.95</v>
          </cell>
        </row>
        <row r="1377">
          <cell r="A1377">
            <v>83515</v>
          </cell>
          <cell r="B1377" t="str">
            <v>ESCORAMENTO FORMAS DE H=3,30 A 3,50 M, COM MADEIRA 3A QUALIDADE, NAO APARELHADA, APROVEITAMENTO TABUAS 3X E PRUMOS 4X</v>
          </cell>
          <cell r="C1377" t="str">
            <v>M3</v>
          </cell>
          <cell r="D1377">
            <v>8.9600000000000009</v>
          </cell>
        </row>
        <row r="1378">
          <cell r="A1378">
            <v>83516</v>
          </cell>
          <cell r="B1378" t="str">
            <v>ESCORAMENTO FORMAS H=3,50 A 4,00 M, COM MADEIRA DE 3A QUALIDADE, NAO APARELHADA, APROVEITAMENTO TABUAS 3X E PRUMOS 4X.</v>
          </cell>
          <cell r="C1378" t="str">
            <v>M3</v>
          </cell>
          <cell r="D1378">
            <v>10.34</v>
          </cell>
        </row>
        <row r="1379">
          <cell r="A1379">
            <v>84214</v>
          </cell>
          <cell r="B1379" t="str">
            <v>FORMA PARA ESTRUTURAS DE CONCRETO (PILAR, VIGA E LAJE) EM CHAPA DE MADEIRA COMPENSADA RESINADA, DE 1,10 X 2,20, ESPESSURA = 12 MM, 02 UTILIZACOES. (FABRICACAO, MONTAGEM E DESMONTAGEM)</v>
          </cell>
          <cell r="C1379" t="str">
            <v>M2</v>
          </cell>
          <cell r="D1379">
            <v>38.39</v>
          </cell>
        </row>
        <row r="1380">
          <cell r="A1380">
            <v>84215</v>
          </cell>
          <cell r="B1380" t="str">
            <v>FORMA PARA ESTRUTURAS DE CONCRETO (PILAR, VIGA E LAJE) EM CHAPA DE MADEIRA COMPENSADA RESINADA, DE 1,10 X 2,20, ESPESSURA = 12 MM, 03 UTILIZACOES. (FABRICACAO, MONTAGEM E DESMONTAGEM)</v>
          </cell>
          <cell r="C1380" t="str">
            <v>M2</v>
          </cell>
          <cell r="D1380">
            <v>29.06</v>
          </cell>
        </row>
        <row r="1381">
          <cell r="A1381">
            <v>84216</v>
          </cell>
          <cell r="B1381" t="str">
            <v>FORMA PARA ESTRUTURAS DE CONCRETO (PILAR, VIGA E LAJE) EM CHAPA DE MADEIRA COMPENSADA RESINADA, DE 1,10 X 2,20, ESPESSURA = 12 MM, 05 UTILIZACOES. (FABRICACAO, MONTAGEM E DESMONTAGEM)</v>
          </cell>
          <cell r="C1381" t="str">
            <v>M2</v>
          </cell>
          <cell r="D1381">
            <v>21.52</v>
          </cell>
        </row>
        <row r="1382">
          <cell r="A1382">
            <v>84217</v>
          </cell>
          <cell r="B1382" t="str">
            <v>FORMA PARA ESTRUTURAS DE CONCRETO (PILAR, VIGA E LAJE) EM CHAPA DE MADEIRA COMPENSADA PLASTIFICADA, DE 1,10 X 2,20, ESPESSURA = 12 MM, 02 UTILIZACOES. (FABRICACAO, MONTAGEM E DESMONTAGEM - EXCLUSIVE ESCORAMENTO)</v>
          </cell>
          <cell r="C1382" t="str">
            <v>M2</v>
          </cell>
          <cell r="D1382">
            <v>43</v>
          </cell>
        </row>
        <row r="1383">
          <cell r="A1383">
            <v>84218</v>
          </cell>
          <cell r="B1383" t="str">
            <v>FORMA PARA ESTRUTURAS DE CONCRETO (PILAR, VIGA E LAJE) EM CHAPA DE MADEIRA COMPENSADA PLASTIFICADA, DE 1,10 X 2,20, ESPESSURA = 12 MM, 03 UTILIZACOES. (FABRICACAO, MONTAGEM E DESMONTAGEM - EXCLUSIVE ESCORAMENTO)</v>
          </cell>
          <cell r="C1383" t="str">
            <v>M2</v>
          </cell>
          <cell r="D1383">
            <v>31.74</v>
          </cell>
        </row>
        <row r="1384">
          <cell r="A1384">
            <v>84219</v>
          </cell>
          <cell r="B1384" t="str">
            <v>FORMA PARA ESTRUTURAS DE CONCRETO (PILAR, VIGA E LAJE) EM CHAPA DE MADEIRA COMPENSADA PLASTIFICADA, DE 1,10 X 2,20, ESPESSURA = 12 MM, 05 UTILIZACOES. (FABRICACAO, MONTAGEM E DESMONTAGEM - EXCLUSIVE ESCORAMENTO)</v>
          </cell>
          <cell r="C1384" t="str">
            <v>M2</v>
          </cell>
          <cell r="D1384">
            <v>22.78</v>
          </cell>
        </row>
        <row r="1385">
          <cell r="A1385">
            <v>84220</v>
          </cell>
          <cell r="B1385" t="str">
            <v>FORMA PARA ESTRUTURAS DE CONCRETO (PILAR, VIGA E LAJE) EM CHAPA DE MADEIRA COMPENSADA PLASTIFICADA, DE 1,10 X 2,20, ESPESSURA = 12 MM, 08 UTILIZACOES. (FABRICACAO, MONTAGEM E DESMONTAGEM - EXCLUSIVE ESCORAMENTO)</v>
          </cell>
          <cell r="C1385" t="str">
            <v>M2</v>
          </cell>
          <cell r="D1385">
            <v>18.87</v>
          </cell>
        </row>
        <row r="1386">
          <cell r="A1386">
            <v>84221</v>
          </cell>
          <cell r="B1386" t="str">
            <v>FORMA PARA ESTRUTURAS DE CONCRETO (PILAR, VIGA E LAJE) EM CHAPA DE MADEIRA COMPENSADA PLASTIFICADA, DE 1,10 X 2,20, ESPESSURA = 18 MM, 02 UTILIZACOES. (FABRICACAO, MONTAGEM E DESMONTAGEM - EXCLUSIVE ESCORAMENTO)</v>
          </cell>
          <cell r="C1386" t="str">
            <v>M2</v>
          </cell>
          <cell r="D1386">
            <v>60.3</v>
          </cell>
        </row>
        <row r="1387">
          <cell r="A1387">
            <v>84222</v>
          </cell>
          <cell r="B1387" t="str">
            <v>FORMA PARA ESTRUTURAS DE CONCRETO (PILAR, VIGA E LAJE) EM CHAPA DE MADEIRA COMPENSADA PLASTIFICADA, DE 1,10 X 2,20, ESPESSURA = 18 MM, 03 UTILIZACOES. (FABRICACAO, MONTAGEM E DESMONTAGEM - EXCLUSIVE ESCORAMENTO)</v>
          </cell>
          <cell r="C1387" t="str">
            <v>M2</v>
          </cell>
          <cell r="D1387">
            <v>44.31</v>
          </cell>
        </row>
        <row r="1388">
          <cell r="A1388">
            <v>84223</v>
          </cell>
          <cell r="B1388" t="str">
            <v>FORMA PARA ESTRUTURAS DE CONCRETO (PILAR, VIGA E LAJE) EM CHAPA DE MADEIRA COMPENSADA PLASTIFICADA, DE 1,10 X 2,20, ESPESSURA = 18 MM, 05 UTILIZACOES. (FABRICACAO, MONTAGEM E DESMONTAGEM - EXCLUSIVE ESCORAMENTO)</v>
          </cell>
          <cell r="C1388" t="str">
            <v>M2</v>
          </cell>
          <cell r="D1388">
            <v>31.73</v>
          </cell>
        </row>
        <row r="1389">
          <cell r="A1389">
            <v>84224</v>
          </cell>
          <cell r="B1389" t="str">
            <v>FORMA PARA ESTRUTURAS DE CONCRETO (PILAR, VIGA E LAJE) EM CHAPA DE MADEIRA COMPENSADA PLASTIFICADA, DE 1,10 X 2,20, ESPESSURA = 18 MM, 08 UTILIZACOES. (FABRICACAO, MONTAGEM E DESMONTAGEM - EXCLUSIVE ESCORAMENTO)</v>
          </cell>
          <cell r="C1389" t="str">
            <v>M2</v>
          </cell>
          <cell r="D1389">
            <v>24.77</v>
          </cell>
        </row>
        <row r="1390">
          <cell r="A1390" t="str">
            <v>73771/1</v>
          </cell>
          <cell r="B1390" t="str">
            <v>PROTENSAO DE TIRANTES DE BARRA DE ACO CA-50 EXCL MATERIAIS</v>
          </cell>
          <cell r="C1390" t="str">
            <v>UN</v>
          </cell>
          <cell r="D1390">
            <v>12.58</v>
          </cell>
        </row>
        <row r="1391">
          <cell r="A1391" t="str">
            <v>73942/1</v>
          </cell>
          <cell r="B1391" t="str">
            <v>ARMACAO DE ACO CA-60 DIAM.7,0 A 8,0MM - FORNECIMENTO / CORTE (C/ PERDA DE 10%) / DOBRA / COLOCACAO.</v>
          </cell>
          <cell r="C1391" t="str">
            <v>KG</v>
          </cell>
          <cell r="D1391">
            <v>5.91</v>
          </cell>
        </row>
        <row r="1392">
          <cell r="A1392" t="str">
            <v>73942/2</v>
          </cell>
          <cell r="B1392" t="str">
            <v>ARMACAO DE ACO CA-60 DIAM. 3,4 A 6,0MM.- FORNECIMENTO / CORTE (C/PERDA DE 10%) / DOBRA / COLOCAÇÃO.</v>
          </cell>
          <cell r="C1392" t="str">
            <v>KG</v>
          </cell>
          <cell r="D1392">
            <v>6.18</v>
          </cell>
        </row>
        <row r="1393">
          <cell r="A1393" t="str">
            <v>73990/1</v>
          </cell>
          <cell r="B1393" t="str">
            <v>ARMACAO ACO CA-50 P/1,0M3 DE CONCRETO</v>
          </cell>
          <cell r="C1393" t="str">
            <v>UN</v>
          </cell>
          <cell r="D1393">
            <v>441.56</v>
          </cell>
        </row>
        <row r="1394">
          <cell r="A1394" t="str">
            <v>73994/1</v>
          </cell>
          <cell r="B1394" t="str">
            <v>ARMACAO EM TELA DE ACO SOLDADA NERVURADA Q-138, ACO CA-60, 4,2MM, MALHA 10X10CM</v>
          </cell>
          <cell r="C1394" t="str">
            <v>KG</v>
          </cell>
          <cell r="D1394">
            <v>6.06</v>
          </cell>
        </row>
        <row r="1395">
          <cell r="A1395" t="str">
            <v>74254/1</v>
          </cell>
          <cell r="B1395" t="str">
            <v>ARMACAO ACO CA-50 DIAM.16,0 (5/8) À 25,0MM (1) - FORNECIMENTO/ CORTE(PERDA DE 10%) / DOBRA / COLOCAÇÃO.</v>
          </cell>
          <cell r="C1395" t="str">
            <v>KG</v>
          </cell>
          <cell r="D1395">
            <v>5.35</v>
          </cell>
        </row>
        <row r="1396">
          <cell r="A1396" t="str">
            <v>74254/2</v>
          </cell>
          <cell r="B1396" t="str">
            <v>ARMACAO ACO CA-50, DIAM. 6,3 (1/4) À 12,5MM(1/2) -FORNECIMENTO/ CORTE(PERDA DE 10%) / DOBRA / COLOCAÇÃO.</v>
          </cell>
          <cell r="C1396" t="str">
            <v>KG</v>
          </cell>
          <cell r="D1396">
            <v>6.22</v>
          </cell>
        </row>
        <row r="1397">
          <cell r="A1397" t="str">
            <v>79504/1</v>
          </cell>
          <cell r="B1397" t="str">
            <v>TIRANTES P/PROTENSAO E ANCORAGEM EM ROCHA C/ 6 FIOS ACO DURO 8MM .</v>
          </cell>
          <cell r="C1397" t="str">
            <v>M</v>
          </cell>
          <cell r="D1397">
            <v>29.24</v>
          </cell>
        </row>
        <row r="1398">
          <cell r="A1398" t="str">
            <v>79504/2</v>
          </cell>
          <cell r="B1398" t="str">
            <v>TIRANTES P/PROTENSAO E ANCORAGEM EM ROCHA C/ 8 FIOS ACO DURO 8MM .</v>
          </cell>
          <cell r="C1398" t="str">
            <v>M</v>
          </cell>
          <cell r="D1398">
            <v>34.36</v>
          </cell>
        </row>
        <row r="1399">
          <cell r="A1399" t="str">
            <v>79504/3</v>
          </cell>
          <cell r="B1399" t="str">
            <v>TIRANTES P/PROTENSAO E ANCORAGEM EM ROCHA C/10 FIOS ACO DURO 8MM .</v>
          </cell>
          <cell r="C1399" t="str">
            <v>M</v>
          </cell>
          <cell r="D1399">
            <v>39.479999999999997</v>
          </cell>
        </row>
        <row r="1400">
          <cell r="A1400" t="str">
            <v>79504/4</v>
          </cell>
          <cell r="B1400" t="str">
            <v>TIRANTES P/PROTENSAO E ANCORAGEM EM ROCHA C/12 FIOS ACO DURO 8MM .</v>
          </cell>
          <cell r="C1400" t="str">
            <v>M</v>
          </cell>
          <cell r="D1400">
            <v>44.59</v>
          </cell>
        </row>
        <row r="1401">
          <cell r="A1401" t="str">
            <v>79504/5</v>
          </cell>
          <cell r="B1401" t="str">
            <v>TIRANTE PROTENDIDO P/  ANCORAGEM EM SOLO  C/ 6 FIOS ACO DURO 8MM, INCLUSIVE PROTEÇÃO ANTICORR0SIVA.</v>
          </cell>
          <cell r="C1401" t="str">
            <v>M</v>
          </cell>
          <cell r="D1401">
            <v>35.909999999999997</v>
          </cell>
        </row>
        <row r="1402">
          <cell r="A1402" t="str">
            <v>79504/6</v>
          </cell>
          <cell r="B1402" t="str">
            <v>TIRANTES P/PROTENSAO E ANCORAGEM EM SOLO TRECHO LIVRE C/ 8 FIOS ACO DURO 8MM INCLUSIVE PROTECAO ANTICORROSIVA.</v>
          </cell>
          <cell r="C1402" t="str">
            <v>M</v>
          </cell>
          <cell r="D1402">
            <v>41.02</v>
          </cell>
        </row>
        <row r="1403">
          <cell r="A1403" t="str">
            <v>79504/7</v>
          </cell>
          <cell r="B1403" t="str">
            <v>TIRANTES P/PROTENSAO E ANCORAGEM EM SOLO TRECHO LIVRE C/10 FIOS ACO DURO 8MM INCLUSIVE PROTECAO ANTICORROSIVA.</v>
          </cell>
          <cell r="C1403" t="str">
            <v>M</v>
          </cell>
          <cell r="D1403">
            <v>46.14</v>
          </cell>
        </row>
        <row r="1404">
          <cell r="A1404" t="str">
            <v>79504/8</v>
          </cell>
          <cell r="B1404" t="str">
            <v>TIRANTES P/PROTENSAO E ANCORAGEM EM SOLO TRECHO LIVRE C/16 FIOS ACO DURO 8MM INCLUSIVE PROTECAO ANTICORROSIVA.</v>
          </cell>
          <cell r="C1404" t="str">
            <v>M</v>
          </cell>
          <cell r="D1404">
            <v>62.13</v>
          </cell>
        </row>
        <row r="1405">
          <cell r="A1405" t="str">
            <v>79504/9</v>
          </cell>
          <cell r="B1405" t="str">
            <v>TIRANTES P/PROTENSAO E ANCORAGEM EM SOLO TRECHO ANCOR C/ 6 FIOS ACO DURO 8MM , INCLUSIVE PROTECAO ANTICORROSIVA.</v>
          </cell>
          <cell r="C1405" t="str">
            <v>M</v>
          </cell>
          <cell r="D1405">
            <v>66.760000000000005</v>
          </cell>
        </row>
        <row r="1406">
          <cell r="A1406" t="str">
            <v>79504/10</v>
          </cell>
          <cell r="B1406" t="str">
            <v>TIRANTES P/PROTENSAO E ANCORAGEM EM SOLO TRECHO ANCOR C/ 8 FIOS ACO DURO 8MM , INCLUSIVE PROTECAO ANTICORROSIVA.</v>
          </cell>
          <cell r="C1406" t="str">
            <v>M</v>
          </cell>
          <cell r="D1406">
            <v>71.88</v>
          </cell>
        </row>
        <row r="1407">
          <cell r="A1407" t="str">
            <v>79504/11</v>
          </cell>
          <cell r="B1407" t="str">
            <v>TIRANTES P/PROTENSAO E ANCORAGEM EM SOLO TRECHO ANCOR C/10 FIOS ACO DURO 8MM .</v>
          </cell>
          <cell r="C1407" t="str">
            <v>M</v>
          </cell>
          <cell r="D1407">
            <v>76.989999999999995</v>
          </cell>
        </row>
        <row r="1408">
          <cell r="A1408" t="str">
            <v>79504/12</v>
          </cell>
          <cell r="B1408" t="str">
            <v>TIRANTES P/PROTENSAO E ANCORAGEM EM SOLO TRECHO ANCOR C/16 FIOS ACO DURO 8MM .</v>
          </cell>
          <cell r="C1408" t="str">
            <v>M</v>
          </cell>
          <cell r="D1408">
            <v>92.98</v>
          </cell>
        </row>
        <row r="1409">
          <cell r="A1409">
            <v>85662</v>
          </cell>
          <cell r="B1409" t="str">
            <v>ARMACAO EM TELA DE ACO SOLDADA NERVURADA Q-92, ACO CA-60, 4,2MM, MALHA 15X15CM</v>
          </cell>
          <cell r="C1409" t="str">
            <v>M2</v>
          </cell>
          <cell r="D1409">
            <v>9.2200000000000006</v>
          </cell>
        </row>
        <row r="1410">
          <cell r="A1410">
            <v>5652</v>
          </cell>
          <cell r="B1410" t="str">
            <v>CONCRETO NAO ESTRUTURAL, CONSUMO 150KG/M3, PREPARO COM BETONEIRA, SEM LANCAMENTO</v>
          </cell>
          <cell r="C1410" t="str">
            <v>M3</v>
          </cell>
          <cell r="D1410">
            <v>201.74</v>
          </cell>
        </row>
        <row r="1411">
          <cell r="A1411">
            <v>6042</v>
          </cell>
          <cell r="B1411" t="str">
            <v>CONCRETO NAO ESTRUTURAL, CONSUMO 210KG/M3, PREPARO COM BETONEIRA, SEM LANCAMENTO</v>
          </cell>
          <cell r="C1411" t="str">
            <v>M3</v>
          </cell>
          <cell r="D1411">
            <v>230.49</v>
          </cell>
        </row>
        <row r="1412">
          <cell r="A1412">
            <v>6045</v>
          </cell>
          <cell r="B1412" t="str">
            <v>CONCRETO FCK=15MPA, PREPARO COM BETONEIRA, SEM LANCAMENTO</v>
          </cell>
          <cell r="C1412" t="str">
            <v>M3</v>
          </cell>
          <cell r="D1412">
            <v>279.82</v>
          </cell>
        </row>
        <row r="1413">
          <cell r="A1413">
            <v>40780</v>
          </cell>
          <cell r="B1413" t="str">
            <v>REGULARIZACAO DE SUPERFICIE DE CONC. APARENTE</v>
          </cell>
          <cell r="C1413" t="str">
            <v>M2</v>
          </cell>
          <cell r="D1413">
            <v>5.51</v>
          </cell>
        </row>
        <row r="1414">
          <cell r="A1414">
            <v>73406</v>
          </cell>
          <cell r="B1414" t="str">
            <v>CONCRETO FCK=15MPA (1:2,5:3) , INCLUIDO PREPARO MECANICO, LANCAMENTO E ADENSAMENTO.</v>
          </cell>
          <cell r="C1414" t="str">
            <v>M3</v>
          </cell>
          <cell r="D1414">
            <v>352.81</v>
          </cell>
        </row>
        <row r="1415">
          <cell r="A1415" t="str">
            <v>73972/1</v>
          </cell>
          <cell r="B1415" t="str">
            <v>CONCRETO FCK=25MPA, VIRADO EM BETONEIRA, SEM LANCAMENTO</v>
          </cell>
          <cell r="C1415" t="str">
            <v>M3</v>
          </cell>
          <cell r="D1415">
            <v>313.33999999999997</v>
          </cell>
        </row>
        <row r="1416">
          <cell r="A1416" t="str">
            <v>73972/2</v>
          </cell>
          <cell r="B1416" t="str">
            <v>CONCRETO FCK=20MPA, VIRADO EM BETONEIRA, SEM LANCAMENTO</v>
          </cell>
          <cell r="C1416" t="str">
            <v>M3</v>
          </cell>
          <cell r="D1416">
            <v>304.02999999999997</v>
          </cell>
        </row>
        <row r="1417">
          <cell r="A1417" t="str">
            <v>73983/1</v>
          </cell>
          <cell r="B1417" t="str">
            <v>CONCRETO FCK=15MPA, VIRADO EM BETONEIRA, SEM LANCAMENTO, COM IMPERMEABILIZANTE</v>
          </cell>
          <cell r="C1417" t="str">
            <v>M3</v>
          </cell>
          <cell r="D1417">
            <v>307.42</v>
          </cell>
        </row>
        <row r="1418">
          <cell r="A1418" t="str">
            <v>74004/3</v>
          </cell>
          <cell r="B1418" t="str">
            <v>CONCRETO GROUT, PREPARADO NO LOCAL, LANCADO E ADENSADO</v>
          </cell>
          <cell r="C1418" t="str">
            <v>M3</v>
          </cell>
          <cell r="D1418">
            <v>354.62</v>
          </cell>
        </row>
        <row r="1419">
          <cell r="A1419" t="str">
            <v>74115/1</v>
          </cell>
          <cell r="B1419" t="str">
            <v>EXECUÇÃO DE LASTRO EM CONCRETO (1:2,5:6), PREPARO MANUAL</v>
          </cell>
          <cell r="C1419" t="str">
            <v>M3</v>
          </cell>
          <cell r="D1419">
            <v>275.31</v>
          </cell>
        </row>
        <row r="1420">
          <cell r="A1420" t="str">
            <v>74138/1</v>
          </cell>
          <cell r="B1420" t="str">
            <v>CONCRETO USINADO BOMBEADO FCK=15MPA, INCLUSIVE LANCAMENTO E ADENSAMENTO</v>
          </cell>
          <cell r="C1420" t="str">
            <v>M3</v>
          </cell>
          <cell r="D1420">
            <v>271.42</v>
          </cell>
        </row>
        <row r="1421">
          <cell r="A1421" t="str">
            <v>74138/2</v>
          </cell>
          <cell r="B1421" t="str">
            <v>CONCRETO USINADO BOMBEADO FCK=20MPA, INCLUSIVE LANCAMENTO E ADENSAMENTO</v>
          </cell>
          <cell r="C1421" t="str">
            <v>M3</v>
          </cell>
          <cell r="D1421">
            <v>308.02</v>
          </cell>
        </row>
        <row r="1422">
          <cell r="A1422" t="str">
            <v>74138/3</v>
          </cell>
          <cell r="B1422" t="str">
            <v>CONCRETO USINADO BOMBEADO FCK=25MPA, INCLUSIVE LANCAMENTO E ADENSAMENTO</v>
          </cell>
          <cell r="C1422" t="str">
            <v>M3</v>
          </cell>
          <cell r="D1422">
            <v>319.51</v>
          </cell>
        </row>
        <row r="1423">
          <cell r="A1423" t="str">
            <v>74138/4</v>
          </cell>
          <cell r="B1423" t="str">
            <v>CONCRETO USINADO BOMBEADO FCK=30MPA, INCLUSIVE LANCAMENTO E ADENSAMENTO</v>
          </cell>
          <cell r="C1423" t="str">
            <v>M3</v>
          </cell>
          <cell r="D1423">
            <v>329.09</v>
          </cell>
        </row>
        <row r="1424">
          <cell r="A1424" t="str">
            <v>74138/5</v>
          </cell>
          <cell r="B1424" t="str">
            <v>CONCRETO USINADO BOMBEADO FCK=35MPA, INCLUSIVE LANCAMENTO E ADENSAMENTO</v>
          </cell>
          <cell r="C1424" t="str">
            <v>M3</v>
          </cell>
          <cell r="D1424">
            <v>339.63</v>
          </cell>
        </row>
        <row r="1425">
          <cell r="A1425" t="str">
            <v>74157/3</v>
          </cell>
          <cell r="B1425" t="str">
            <v>LANCAMENTO/APLICACAO MANUAL DE CONCRETO EM ESTRUTURAS</v>
          </cell>
          <cell r="C1425" t="str">
            <v>M3</v>
          </cell>
          <cell r="D1425">
            <v>59.92</v>
          </cell>
        </row>
        <row r="1426">
          <cell r="A1426" t="str">
            <v>74157/4</v>
          </cell>
          <cell r="B1426" t="str">
            <v>LANCAMENTO/APLICACAO MANUAL DE CONCRETO EM FUNDACOES</v>
          </cell>
          <cell r="C1426" t="str">
            <v>M3</v>
          </cell>
          <cell r="D1426">
            <v>59.92</v>
          </cell>
        </row>
        <row r="1427">
          <cell r="A1427" t="str">
            <v>74141/1</v>
          </cell>
          <cell r="B1427" t="str">
            <v>LAJE PRE-MOLD BETA 11 P/1KN/M2 VAOS 4,40M/INCL VIGOTAS TIJOLOS ARMADURA NEGATIVA CAPEAMENTO 3CM CONCRETO 20MPA ESCORAMENTO MATERIAL E MAO  DE OBRA.</v>
          </cell>
          <cell r="C1427" t="str">
            <v>M2</v>
          </cell>
          <cell r="D1427">
            <v>61.96</v>
          </cell>
        </row>
        <row r="1428">
          <cell r="A1428" t="str">
            <v>74141/2</v>
          </cell>
          <cell r="B1428" t="str">
            <v>LAJE PRE-MOLD BETA 12 P/3,5KN/M2 VAO 4,1M INCL VIGOTAS TIJOLOS ARMADU-RA NEGATIVA CAPEAMENTO 3CM CONCRETO 15MPA ESCORAMENTO MATERIAIS E MAO DE OBRA.</v>
          </cell>
          <cell r="C1428" t="str">
            <v>M2</v>
          </cell>
          <cell r="D1428">
            <v>69.790000000000006</v>
          </cell>
        </row>
        <row r="1429">
          <cell r="A1429" t="str">
            <v>74141/3</v>
          </cell>
          <cell r="B1429" t="str">
            <v>LAJE PRE-MOLD BETA 16 P/3,5KN/M2 VAO 5,2M INCL VIGOTAS TIJOLOS ARMADU-RA NEGATIVA CAPEAMENTO 3CM CONCRETO 15MPA ESCORAMENTO MATERIAL E MAO  DE OBRA.</v>
          </cell>
          <cell r="C1429" t="str">
            <v>M2</v>
          </cell>
          <cell r="D1429">
            <v>77.73</v>
          </cell>
        </row>
        <row r="1430">
          <cell r="A1430" t="str">
            <v>74141/4</v>
          </cell>
          <cell r="B1430" t="str">
            <v>LAJE PRE-MOLD BETA 20 P/3,5KN/M2 VAO 6,2M INCL VIGOTAS TIJOLOS ARMADU-RA NEGATIVA CAPEAMENTO 3CM CONCRETO 15MPA ESCORAMENTO MATERIAL E MAO  DE OBRA.</v>
          </cell>
          <cell r="C1430" t="str">
            <v>M2</v>
          </cell>
          <cell r="D1430">
            <v>101.22</v>
          </cell>
        </row>
        <row r="1431">
          <cell r="A1431" t="str">
            <v>74202/1</v>
          </cell>
          <cell r="B1431" t="str">
            <v>LAJE PRE-MOLDADA P/FORRO, SOBRECARGA 100KG/M2, VAOS ATE 3,50M/E=8CM, C/LAJOTAS E CAP.C/CONC FCK=20MPA, 3CM, INTER-EIXO 38CM, C/ESCORAMENTO (REAPR.3X) E FERRAGEM NEGATIVA</v>
          </cell>
          <cell r="C1431" t="str">
            <v>M2</v>
          </cell>
          <cell r="D1431">
            <v>52.11</v>
          </cell>
        </row>
        <row r="1432">
          <cell r="A1432" t="str">
            <v>74202/2</v>
          </cell>
          <cell r="B1432" t="str">
            <v>LAJE PRE-MOLDADA P/PISO, SOBRECARGA 200KG/M2, VAOS ATE 3,50M/E=8CM, C/LAJOTAS E CAP.C/CONC FCK=20MPA, 4CM, INTER-EIXO 38CM, C/ESCORAMENTO (REAPR.3X) E FERRAGEM NEGATIVA</v>
          </cell>
          <cell r="C1432" t="str">
            <v>M2</v>
          </cell>
          <cell r="D1432">
            <v>58.83</v>
          </cell>
        </row>
        <row r="1433">
          <cell r="A1433">
            <v>6122</v>
          </cell>
          <cell r="B1433" t="str">
            <v>EMBASAMENTO C/PEDRA ARGAMASSADA UTILIZANDO ARG.CIM/AREIA 1:4</v>
          </cell>
          <cell r="C1433" t="str">
            <v>M3</v>
          </cell>
          <cell r="D1433">
            <v>252.39</v>
          </cell>
        </row>
        <row r="1434">
          <cell r="A1434" t="str">
            <v>73817/1</v>
          </cell>
          <cell r="B1434" t="str">
            <v>EMBASAMENTO DE MATERIAL GRANULAR - PO DE PEDRA</v>
          </cell>
          <cell r="C1434" t="str">
            <v>M3</v>
          </cell>
          <cell r="D1434">
            <v>62.86</v>
          </cell>
        </row>
        <row r="1435">
          <cell r="A1435" t="str">
            <v>73817/2</v>
          </cell>
          <cell r="B1435" t="str">
            <v>EMBASAMENTO DE MATERIAL GRANULAR - RACHAO</v>
          </cell>
          <cell r="C1435" t="str">
            <v>M3</v>
          </cell>
          <cell r="D1435">
            <v>74.44</v>
          </cell>
        </row>
        <row r="1436">
          <cell r="A1436" t="str">
            <v>74078/1</v>
          </cell>
          <cell r="B1436" t="str">
            <v>AGULHAMENTO FUNDO DE VALAS C/MACO 30KG PEDRA-DE-MAO H=10CM</v>
          </cell>
          <cell r="C1436" t="str">
            <v>M2</v>
          </cell>
          <cell r="D1436">
            <v>18.03</v>
          </cell>
        </row>
        <row r="1437">
          <cell r="A1437" t="str">
            <v>74078/2</v>
          </cell>
          <cell r="B1437" t="str">
            <v>AGULHAMENTO FUNDO DE VALAS C/MACO 30KG PEDRA-DE-MAO H=5CM</v>
          </cell>
          <cell r="C1437" t="str">
            <v>M2</v>
          </cell>
          <cell r="D1437">
            <v>9.01</v>
          </cell>
        </row>
        <row r="1438">
          <cell r="A1438">
            <v>83518</v>
          </cell>
          <cell r="B1438" t="str">
            <v>ALVENARIA EMBASAMENTO E=20 CM BLOCO CONCRETO</v>
          </cell>
          <cell r="C1438" t="str">
            <v>M3</v>
          </cell>
          <cell r="D1438">
            <v>230.17</v>
          </cell>
        </row>
        <row r="1439">
          <cell r="A1439">
            <v>83519</v>
          </cell>
          <cell r="B1439" t="str">
            <v>ALVENARIA EMBASAMENTO TIJOLO CERAMICO FURADO 10X20X20 CM</v>
          </cell>
          <cell r="C1439" t="str">
            <v>M3</v>
          </cell>
          <cell r="D1439">
            <v>384.05</v>
          </cell>
        </row>
        <row r="1440">
          <cell r="A1440">
            <v>68328</v>
          </cell>
          <cell r="B1440" t="str">
            <v>JUNTA DE DILATACAO COM ISOPOR 10 MM</v>
          </cell>
          <cell r="C1440" t="str">
            <v>M2</v>
          </cell>
          <cell r="D1440">
            <v>10.23</v>
          </cell>
        </row>
        <row r="1441">
          <cell r="A1441" t="str">
            <v>73898/1</v>
          </cell>
          <cell r="B1441" t="str">
            <v>JUNTA DE DILATACAO ELASTICA (PVC) O-220/6 PRESSAO ATE 30 MCA</v>
          </cell>
          <cell r="C1441" t="str">
            <v>M</v>
          </cell>
          <cell r="D1441">
            <v>249.08</v>
          </cell>
        </row>
        <row r="1442">
          <cell r="A1442" t="str">
            <v>74121/1</v>
          </cell>
          <cell r="B1442" t="str">
            <v>JUNTA DE DILATACAO PARA IMPERMEABILIZACAO, COM SELANTE ELASTICO MONOCOMPONENTE A BASE DE POLIURETANO, DIMENSOES 1X1CM.</v>
          </cell>
          <cell r="C1442" t="str">
            <v>M</v>
          </cell>
          <cell r="D1442">
            <v>21.62</v>
          </cell>
        </row>
        <row r="1443">
          <cell r="A1443">
            <v>79471</v>
          </cell>
          <cell r="B1443" t="str">
            <v>PINTURA ADESIVA P/ CONCRETO, A BASE DE RESINA EPOXI ( SIKADUR 32 )</v>
          </cell>
          <cell r="C1443" t="str">
            <v>KG</v>
          </cell>
          <cell r="D1443">
            <v>68.239999999999995</v>
          </cell>
        </row>
        <row r="1444">
          <cell r="A1444" t="str">
            <v>74200/1</v>
          </cell>
          <cell r="B1444" t="str">
            <v>VERGA 10X10CM EM CONCRETO PRÉ-MOLDADO FCK=20MPA (PREPARO COM BETONEIRA) AÇO CA60, BITOLA FINA, INCLUSIVE FORMAS TABUA 3A.</v>
          </cell>
          <cell r="C1444" t="str">
            <v>M</v>
          </cell>
          <cell r="D1444">
            <v>11.82</v>
          </cell>
        </row>
        <row r="1445">
          <cell r="A1445">
            <v>83901</v>
          </cell>
          <cell r="B1445" t="str">
            <v>VERGAS 10X10 CM, PREMOLDADAS C/ CONCRETO FCK=15 MPA (PREPARO MECANICO), ACO CA-50 COM FORMAS TABUA DE PINHO 3A</v>
          </cell>
          <cell r="C1445" t="str">
            <v>M</v>
          </cell>
          <cell r="D1445">
            <v>11.81</v>
          </cell>
        </row>
        <row r="1446">
          <cell r="A1446">
            <v>71623</v>
          </cell>
          <cell r="B1446" t="str">
            <v>CHAPIM DE CONCRETO APARENTE COM ACABAMENTO DESEMPENADO, FORMA DE COMPENSADO PLASTIFICADO (MADEIRIT) DE 14 X 10 CM, FUNDIDO NO LOCAL.</v>
          </cell>
          <cell r="C1446" t="str">
            <v>M</v>
          </cell>
          <cell r="D1446">
            <v>18.940000000000001</v>
          </cell>
        </row>
        <row r="1447">
          <cell r="A1447" t="str">
            <v>74144/2</v>
          </cell>
          <cell r="B1447" t="str">
            <v>SUPORTE APOIO CAIXA D AGUA BARROTES MADEIRA DE 1</v>
          </cell>
          <cell r="C1447" t="str">
            <v>UN</v>
          </cell>
          <cell r="D1447">
            <v>24.72</v>
          </cell>
        </row>
        <row r="1448">
          <cell r="A1448">
            <v>83513</v>
          </cell>
          <cell r="B1448" t="str">
            <v>FORNECIMENTO DE PERFIL SIMPLES "I" OU "H" ATE 8" INCLUSIVE PERDAS</v>
          </cell>
          <cell r="C1448" t="str">
            <v>KG</v>
          </cell>
          <cell r="D1448">
            <v>5.0199999999999996</v>
          </cell>
        </row>
        <row r="1449">
          <cell r="A1449">
            <v>83514</v>
          </cell>
          <cell r="B1449" t="str">
            <v>FORNECIMENTO DE PERFIL SIMPLES "I" OU "H" 8 A 12" INCLUSIVE PERDAS</v>
          </cell>
          <cell r="C1449" t="str">
            <v>KG</v>
          </cell>
          <cell r="D1449">
            <v>4.25</v>
          </cell>
        </row>
        <row r="1450">
          <cell r="A1450">
            <v>84153</v>
          </cell>
          <cell r="B1450" t="str">
            <v>APARELHO DE APOIO NEOPRENE NAO FRETADO (1,4KG/DM3)</v>
          </cell>
          <cell r="C1450" t="str">
            <v>KG</v>
          </cell>
          <cell r="D1450">
            <v>34.19</v>
          </cell>
        </row>
        <row r="1451">
          <cell r="A1451">
            <v>84154</v>
          </cell>
          <cell r="B1451" t="str">
            <v>APARELHO APOIO NEOPRENE FRETADO</v>
          </cell>
          <cell r="C1451" t="str">
            <v>DM3</v>
          </cell>
          <cell r="D1451">
            <v>103.69</v>
          </cell>
        </row>
        <row r="1452">
          <cell r="A1452">
            <v>85233</v>
          </cell>
          <cell r="B1452" t="str">
            <v>ESCADA EM CONCRETO ARMADO, FCK = 15 MPA, MOLDADA IN LOCO</v>
          </cell>
          <cell r="C1452" t="str">
            <v>M3</v>
          </cell>
          <cell r="D1452">
            <v>1307.3699999999999</v>
          </cell>
        </row>
        <row r="1453">
          <cell r="A1453">
            <v>5968</v>
          </cell>
          <cell r="B1453" t="str">
            <v>IMPERMEABILIZACAO DE SUPERFICIE COM ARGAMASSA DE CIMENTO E AREIA (MEDIA), TRACO 1:3, COM ADITIVO IMPERMEABILIZANTE, E=2CM.</v>
          </cell>
          <cell r="C1453" t="str">
            <v>M2</v>
          </cell>
          <cell r="D1453">
            <v>26.4</v>
          </cell>
        </row>
        <row r="1454">
          <cell r="A1454">
            <v>6130</v>
          </cell>
          <cell r="B1454" t="str">
            <v>IMPERMEABILIZACAO DE SUPERFICIE COM ARGAMASSA DE CIMENTO E AREIA (GROSSA), TRACO 1:4, COM ADITIVO IMPERMEABILIZANTE, E=2,5CM</v>
          </cell>
          <cell r="C1454" t="str">
            <v>M2</v>
          </cell>
          <cell r="D1454">
            <v>15.7</v>
          </cell>
        </row>
        <row r="1455">
          <cell r="A1455" t="str">
            <v>74000/1</v>
          </cell>
          <cell r="B1455" t="str">
            <v>IMPERMEABILIZACAO DE SUPERFICIE COM ARMAGASSA DE CIMENTO E AREIA (GROSSA), TRACO 1:3, COM ADITIVO IMPERMEABILIZANTE, E=2,5CM.</v>
          </cell>
          <cell r="C1455" t="str">
            <v>M2</v>
          </cell>
          <cell r="D1455">
            <v>34.380000000000003</v>
          </cell>
        </row>
        <row r="1456">
          <cell r="A1456">
            <v>83731</v>
          </cell>
          <cell r="B1456" t="str">
            <v>IMPERMEABILIZACAO DE SUPERFICIE COM ARGAMASSA DE CIMENTO E AREIA, TRACO 1:3, COM ADITIVO IMPERMEABILIZANTE, E=3 CM</v>
          </cell>
          <cell r="C1456" t="str">
            <v>M2</v>
          </cell>
          <cell r="D1456">
            <v>27.97</v>
          </cell>
        </row>
        <row r="1457">
          <cell r="A1457">
            <v>83732</v>
          </cell>
          <cell r="B1457" t="str">
            <v>IMPERMEABILIZACAO DE SUPERFICIE COM ARGAMASSA DE CIMENTO E AREIA, TRACO 1:3, COM ADITIVO IMPERMEABILIZANTE, E=1,5 CM</v>
          </cell>
          <cell r="C1457" t="str">
            <v>M2</v>
          </cell>
          <cell r="D1457">
            <v>19.47</v>
          </cell>
        </row>
        <row r="1458">
          <cell r="A1458">
            <v>83733</v>
          </cell>
          <cell r="B1458" t="str">
            <v>IMPERMEABILIZACAO DE SUPERFICIE COM ARGAMASSA DE CIMENTO E AREIA (GROSSA), TRACO 1:4, COM ADITIVO IMPERMEABILIZANTE, E=2 CM</v>
          </cell>
          <cell r="C1458" t="str">
            <v>M2</v>
          </cell>
          <cell r="D1458">
            <v>24.02</v>
          </cell>
        </row>
        <row r="1459">
          <cell r="A1459">
            <v>83735</v>
          </cell>
          <cell r="B1459" t="str">
            <v>IMPERMEABILIZACAO DE SUPERFICIE COM CIMENTO IMPERMEABILIZANTE DE PEGA ULTRA RAPIDA, TRACO 1:1, E=0,5 CM</v>
          </cell>
          <cell r="C1459" t="str">
            <v>M2</v>
          </cell>
          <cell r="D1459">
            <v>33.42</v>
          </cell>
        </row>
        <row r="1460">
          <cell r="A1460">
            <v>68053</v>
          </cell>
          <cell r="B1460" t="str">
            <v>FORNECIMENTO/INSTALACAO LONA PLASTICA PRETA, PARA IMPERMEABILIZACAO, ESPESSURA 150 MICRAS.</v>
          </cell>
          <cell r="C1460" t="str">
            <v>M2</v>
          </cell>
          <cell r="D1460">
            <v>3.33</v>
          </cell>
        </row>
        <row r="1461">
          <cell r="A1461" t="str">
            <v>73753/1</v>
          </cell>
          <cell r="B1461" t="str">
            <v>IMPERMEABILIZACAO DE SUPERFICIE COM MANTA ASFALTICA PROTEGIDA COM FILME DE ALUMINIO GOFRADO (DE ESPESSURA 0,8MM), INCLUSA APLICACAO DE  EMULSAO ASFALTICA, E=3MM.</v>
          </cell>
          <cell r="C1461" t="str">
            <v>M2</v>
          </cell>
          <cell r="D1461">
            <v>57.16</v>
          </cell>
        </row>
        <row r="1462">
          <cell r="A1462" t="str">
            <v>73753/2</v>
          </cell>
          <cell r="B1462" t="str">
            <v>IMPERMEABILIZACAO DE SUPERFICIE COM MANTA BUTILICA, INCLUSAS CINTA DE CALDEACAO E COLA ADESIVA, E=0,8MM.</v>
          </cell>
          <cell r="C1462" t="str">
            <v>M2</v>
          </cell>
          <cell r="D1462">
            <v>95.79</v>
          </cell>
        </row>
        <row r="1463">
          <cell r="A1463" t="str">
            <v>74033/1</v>
          </cell>
          <cell r="B1463" t="str">
            <v>IMPERMEABILIZACAO DE SUPERFICIE COM GEOMEMBRANA (MANTA TERMOPLASTICA LISA) TIPO PEAD, E=2MM.</v>
          </cell>
          <cell r="C1463" t="str">
            <v>M2</v>
          </cell>
          <cell r="D1463">
            <v>22.02</v>
          </cell>
        </row>
        <row r="1464">
          <cell r="A1464">
            <v>83737</v>
          </cell>
          <cell r="B1464" t="str">
            <v>IMPERMEABILIZACAO DE SUPERFICIE COM MANTA ASFALTICA (COM POLIMEROS TIPO APP), E=3 MM</v>
          </cell>
          <cell r="C1464" t="str">
            <v>M2</v>
          </cell>
          <cell r="D1464">
            <v>49.58</v>
          </cell>
        </row>
        <row r="1465">
          <cell r="A1465">
            <v>83738</v>
          </cell>
          <cell r="B1465" t="str">
            <v>IMPERMEABILIZACAO DE SUPERFICIE COM MANTA ASFALTICA (COM POLIMEROS TIPO APP), E=4 MM</v>
          </cell>
          <cell r="C1465" t="str">
            <v>M2</v>
          </cell>
          <cell r="D1465">
            <v>57.54</v>
          </cell>
        </row>
        <row r="1466">
          <cell r="A1466">
            <v>83740</v>
          </cell>
          <cell r="B1466" t="str">
            <v>IMPERMEABILIZACAO COM FELTRO ASFALTICO BETUMINADO, NUM 15</v>
          </cell>
          <cell r="C1466" t="str">
            <v>M2</v>
          </cell>
          <cell r="D1466">
            <v>27.87</v>
          </cell>
        </row>
        <row r="1467">
          <cell r="A1467" t="str">
            <v>73929/1</v>
          </cell>
          <cell r="B1467" t="str">
            <v>IMPERMEABILIZACAO DE SUPERFICIE COM CIMENTO ESPECIAL CRISTALIZANTE COM ADESIVO LIQUIDO DE ALTA PERFORMANCE A BASE DE RESINA ACRÍLICA, UMA DEMAO.</v>
          </cell>
          <cell r="C1467" t="str">
            <v>M2</v>
          </cell>
          <cell r="D1467">
            <v>17.47</v>
          </cell>
        </row>
        <row r="1468">
          <cell r="A1468" t="str">
            <v>73929/3</v>
          </cell>
          <cell r="B1468" t="str">
            <v>IMPERMEABILIZACAO DE SUPERFICIE COM EMULSAO ACRILICA E SELADOR.</v>
          </cell>
          <cell r="C1468" t="str">
            <v>M2</v>
          </cell>
          <cell r="D1468">
            <v>43.93</v>
          </cell>
        </row>
        <row r="1469">
          <cell r="A1469" t="str">
            <v>73929/4</v>
          </cell>
          <cell r="B1469" t="str">
            <v>IMPERMEABILIZACAO DE ESTRUTURAS ENTERRADAS COM CIMENTO CRISTALIZANTE E EMULSAO ADESIVA, ATE 7M DE PROFUNDIDADE.</v>
          </cell>
          <cell r="C1469" t="str">
            <v>M2</v>
          </cell>
          <cell r="D1469">
            <v>33.47</v>
          </cell>
        </row>
        <row r="1470">
          <cell r="A1470">
            <v>6225</v>
          </cell>
          <cell r="B1470" t="str">
            <v>IMPERMEABILIZACAO DE CALHAS/LAJES DESCOBERTAS, COM EMULSAO ASFALTICA COM ELASTOMEROS, 3 DEMAOS</v>
          </cell>
          <cell r="C1470" t="str">
            <v>M2</v>
          </cell>
          <cell r="D1470">
            <v>22.39</v>
          </cell>
        </row>
        <row r="1471">
          <cell r="A1471">
            <v>72075</v>
          </cell>
          <cell r="B1471" t="str">
            <v>IMPERMEABILIZACAO DE SUPERFICIE COM REVESTIMENTO BICOMPONENTE SEMI FLEXIVEL.</v>
          </cell>
          <cell r="C1471" t="str">
            <v>M2</v>
          </cell>
          <cell r="D1471">
            <v>6.87</v>
          </cell>
        </row>
        <row r="1472">
          <cell r="A1472" t="str">
            <v>73762/1</v>
          </cell>
          <cell r="B1472" t="str">
            <v>IMPERMEABILIZACAO DE SUPERFICIE COM ASFALTO ELASTOMERICO, INCLUSOS PRIMER E VEU DE POLIESTER.</v>
          </cell>
          <cell r="C1472" t="str">
            <v>M2</v>
          </cell>
          <cell r="D1472">
            <v>56.64</v>
          </cell>
        </row>
        <row r="1473">
          <cell r="A1473" t="str">
            <v>73762/2</v>
          </cell>
          <cell r="B1473" t="str">
            <v>IMPERMEABILIZACAO DE SUPERFICIE COM EMULSAO ACRILICA SOBRE CIMENTO CRISTALIZANTE, INCLUSO VEU DE FIBRA DE VIDRO.</v>
          </cell>
          <cell r="C1473" t="str">
            <v>M2</v>
          </cell>
          <cell r="D1473">
            <v>43.35</v>
          </cell>
        </row>
        <row r="1474">
          <cell r="A1474" t="str">
            <v>73762/3</v>
          </cell>
          <cell r="B1474" t="str">
            <v>IMPERMEABILIZACAO DE SUPERFICIE COM EMULSAO ACRILICA ESTILENADA COM TELA SOBRE CIMENTO CRISTALIZANTE, INCLUSO EMULSAO ADESIVA DE BASE ACRILICA.</v>
          </cell>
          <cell r="C1474" t="str">
            <v>M2</v>
          </cell>
          <cell r="D1474">
            <v>69.62</v>
          </cell>
        </row>
        <row r="1475">
          <cell r="A1475" t="str">
            <v>73762/4</v>
          </cell>
          <cell r="B1475" t="str">
            <v>IMPERMEABILIZACAO DE SUPERFICIE COM ASFALTO ELASTOMERICO, INCLUSOS PRIMER E VEU DE FIBRA DE VIDRO.</v>
          </cell>
          <cell r="C1475" t="str">
            <v>M2</v>
          </cell>
          <cell r="D1475">
            <v>74.34</v>
          </cell>
        </row>
        <row r="1476">
          <cell r="A1476" t="str">
            <v>74066/1</v>
          </cell>
          <cell r="B1476" t="str">
            <v>IMPERMEABILIZACAO DE SUPERFICIE, COM IMPERMEABILIZANTE FLEXIVEL A BASE DE ELASTOMERO.</v>
          </cell>
          <cell r="C1476" t="str">
            <v>M2</v>
          </cell>
          <cell r="D1476">
            <v>38.950000000000003</v>
          </cell>
        </row>
        <row r="1477">
          <cell r="A1477" t="str">
            <v>74066/2</v>
          </cell>
          <cell r="B1477" t="str">
            <v>IMPERMEABILIZACAO DE SUPERFICIE, COM IMPERMEABILIZANTE FLEXIVEL A BASE ACRILICA.</v>
          </cell>
          <cell r="C1477" t="str">
            <v>M2</v>
          </cell>
          <cell r="D1477">
            <v>170.5</v>
          </cell>
        </row>
        <row r="1478">
          <cell r="A1478" t="str">
            <v>74097/1</v>
          </cell>
          <cell r="B1478" t="str">
            <v>IMPERMEABILIZACAO DE SUPERFICIE, COM ASFALTO ELASTOMERICO.</v>
          </cell>
          <cell r="C1478" t="str">
            <v>M2</v>
          </cell>
          <cell r="D1478">
            <v>22.39</v>
          </cell>
        </row>
        <row r="1479">
          <cell r="A1479" t="str">
            <v>74106/1</v>
          </cell>
          <cell r="B1479" t="str">
            <v>IMPERMEABILIZACAO DE ESTRUTURAS ENTERRADAS, COM TINTA ASFALTICA, DUAS DEMAOS.</v>
          </cell>
          <cell r="C1479" t="str">
            <v>M2</v>
          </cell>
          <cell r="D1479">
            <v>6.38</v>
          </cell>
        </row>
        <row r="1480">
          <cell r="A1480">
            <v>83741</v>
          </cell>
          <cell r="B1480" t="str">
            <v>IMPERMEABILIZACAO DE SUPERFICIE COM EMULSAO ASFALTICA COM ELASTOMERO, INCLUSOS PRIMER E VEU DE POLIESTER</v>
          </cell>
          <cell r="C1480" t="str">
            <v>M2</v>
          </cell>
          <cell r="D1480">
            <v>60.85</v>
          </cell>
        </row>
        <row r="1481">
          <cell r="A1481">
            <v>83742</v>
          </cell>
          <cell r="B1481" t="str">
            <v>IMPERMEABILIZACAO DE SUPERFICIE COM EMULSAO ASFALTICA A BASE D'AGUA</v>
          </cell>
          <cell r="C1481" t="str">
            <v>M2</v>
          </cell>
          <cell r="D1481">
            <v>16.45</v>
          </cell>
        </row>
        <row r="1482">
          <cell r="A1482">
            <v>83743</v>
          </cell>
          <cell r="B1482" t="str">
            <v>JUNTA DE DILATACAO PARA IMPERMEABILIZACAO, COM ASFALTO OXIDADO APLICADO A QUENTE, DIMENSOES 2X2 CM</v>
          </cell>
          <cell r="C1482" t="str">
            <v>M</v>
          </cell>
          <cell r="D1482">
            <v>11.15</v>
          </cell>
        </row>
        <row r="1483">
          <cell r="A1483" t="str">
            <v>73872/1</v>
          </cell>
          <cell r="B1483" t="str">
            <v>IMPERMEABILIZACAO COM PINTURA A BASE DE RESINA EPOXI ALCATRAO, UMA DEMAO.</v>
          </cell>
          <cell r="C1483" t="str">
            <v>M2</v>
          </cell>
          <cell r="D1483">
            <v>18.670000000000002</v>
          </cell>
        </row>
        <row r="1484">
          <cell r="A1484" t="str">
            <v>73872/2</v>
          </cell>
          <cell r="B1484" t="str">
            <v>IMPERMEABILIZACAO COM PINTURA A BASE DE RESINA EPOXI ALCATRAO, DUAS DEMAOS.</v>
          </cell>
          <cell r="C1484" t="str">
            <v>M2</v>
          </cell>
          <cell r="D1484">
            <v>36.35</v>
          </cell>
        </row>
        <row r="1485">
          <cell r="A1485">
            <v>72124</v>
          </cell>
          <cell r="B1485" t="str">
            <v>IMPERMEABILIZACAO DE SUPERFICIE COM MASTIQUE ELASTICO A BASE DE SILICONE, POR VOLUME.</v>
          </cell>
          <cell r="C1485" t="str">
            <v>DM3</v>
          </cell>
          <cell r="D1485">
            <v>77.84</v>
          </cell>
        </row>
        <row r="1486">
          <cell r="A1486" t="str">
            <v>74025/1</v>
          </cell>
          <cell r="B1486" t="str">
            <v>IMPERMEABILIZACAO DE SUPERFICIE COM MASTIQUE BETUMINOSO A FRIO, POR METRO.</v>
          </cell>
          <cell r="C1486" t="str">
            <v>M</v>
          </cell>
          <cell r="D1486">
            <v>28.52</v>
          </cell>
        </row>
        <row r="1487">
          <cell r="A1487" t="str">
            <v>74190/1</v>
          </cell>
          <cell r="B1487" t="str">
            <v>IMPERMEABILIZACAO DE SUPERFICIE COM MASTIQUE BETUMINOSO A FRIO, POR AREA.</v>
          </cell>
          <cell r="C1487" t="str">
            <v>M2</v>
          </cell>
          <cell r="D1487">
            <v>95.26</v>
          </cell>
        </row>
        <row r="1488">
          <cell r="A1488">
            <v>83744</v>
          </cell>
          <cell r="B1488" t="str">
            <v>PROTECAO MECANICA DE SUPERFICIE COM ARGAMASSA DE CIMENTO E AREIA, TRACO 1:7 CM, E=3 CM</v>
          </cell>
          <cell r="C1488" t="str">
            <v>M2</v>
          </cell>
          <cell r="D1488">
            <v>17.66</v>
          </cell>
        </row>
        <row r="1489">
          <cell r="A1489">
            <v>83745</v>
          </cell>
          <cell r="B1489" t="str">
            <v>PROTECAO MECANICA DE SUPERFICIE COM ARGAMASSA DE CIMENTO E AREIA, TRACO 1:4, E=0,5 CM</v>
          </cell>
          <cell r="C1489" t="str">
            <v>M2</v>
          </cell>
          <cell r="D1489">
            <v>12.35</v>
          </cell>
        </row>
        <row r="1490">
          <cell r="A1490">
            <v>83746</v>
          </cell>
          <cell r="B1490" t="str">
            <v>PROTECAO MECANICA DE SUPERFICIE COM ARGAMASSA DE CIMENTO E AREIA, TRACO 1:4, E=2 CM</v>
          </cell>
          <cell r="C1490" t="str">
            <v>M2</v>
          </cell>
          <cell r="D1490">
            <v>16.53</v>
          </cell>
        </row>
        <row r="1491">
          <cell r="A1491">
            <v>83747</v>
          </cell>
          <cell r="B1491" t="str">
            <v>PROTECAO MECANICA DE SUPERFICIE COM ARGAMASSA DE CIMENTO E AREIA, TRACO 1:7, E=1,5 CM</v>
          </cell>
          <cell r="C1491" t="str">
            <v>M2</v>
          </cell>
          <cell r="D1491">
            <v>13.9</v>
          </cell>
        </row>
        <row r="1492">
          <cell r="A1492">
            <v>83748</v>
          </cell>
          <cell r="B1492" t="str">
            <v>PROTECAO MECANICA DE SUPERFICIE COM ARGAMASSA DE CIMENTO E AREIA, TRACO 1:3, E=2 CM</v>
          </cell>
          <cell r="C1492" t="str">
            <v>M2</v>
          </cell>
          <cell r="D1492">
            <v>17.399999999999999</v>
          </cell>
        </row>
        <row r="1493">
          <cell r="A1493">
            <v>83749</v>
          </cell>
          <cell r="B1493" t="str">
            <v>PROTECAO MECANICA DE SUPERFICIE COM ARGAMASSA DE CIMENTO E AREIA, TRACO 1:3, E=2,5 CM</v>
          </cell>
          <cell r="C1493" t="str">
            <v>M2</v>
          </cell>
          <cell r="D1493">
            <v>19.21</v>
          </cell>
        </row>
        <row r="1494">
          <cell r="A1494">
            <v>83750</v>
          </cell>
          <cell r="B1494" t="str">
            <v>PROTECAO MECANICA DE SUPERFICIE COM ARGAMASSA DE CIMENTO E AREIA, TRACO 1:2, E=3 CM</v>
          </cell>
          <cell r="C1494" t="str">
            <v>M2</v>
          </cell>
          <cell r="D1494">
            <v>23.13</v>
          </cell>
        </row>
        <row r="1495">
          <cell r="A1495">
            <v>83751</v>
          </cell>
          <cell r="B1495" t="str">
            <v>PROTECAO MECANICA DE SUPERFICIE COM ARGAMASSA DE CIMENTO E AREIA, TRACO 1:4, E=1,5 CM</v>
          </cell>
          <cell r="C1495" t="str">
            <v>M2</v>
          </cell>
          <cell r="D1495">
            <v>16.739999999999998</v>
          </cell>
        </row>
        <row r="1496">
          <cell r="A1496">
            <v>83752</v>
          </cell>
          <cell r="B1496" t="str">
            <v>PROTECAO MECANICA DE SUPERFICIE COM ARGAMASSA DE CIMENTO E AREIA, TRACO 1:6, E=1,5 CM</v>
          </cell>
          <cell r="C1496" t="str">
            <v>M2</v>
          </cell>
          <cell r="D1496">
            <v>14.13</v>
          </cell>
        </row>
        <row r="1497">
          <cell r="A1497">
            <v>83753</v>
          </cell>
          <cell r="B1497" t="str">
            <v>PROTECAO MECANICA DE SUPERFICIE COM ARGAMASSA DE CIMENTO E AREIA, TRACO 1:3, JUNTA BATIDA, E=3 CM</v>
          </cell>
          <cell r="C1497" t="str">
            <v>M2</v>
          </cell>
          <cell r="D1497">
            <v>23.77</v>
          </cell>
        </row>
        <row r="1498">
          <cell r="A1498">
            <v>83754</v>
          </cell>
          <cell r="B1498" t="str">
            <v>PROTECAO MECANICA DE SUPERFICIE COM ARGAMASSA DE CIMENTO E AREIA, TRACO 1:6, E=2 CM</v>
          </cell>
          <cell r="C1498" t="str">
            <v>M2</v>
          </cell>
          <cell r="D1498">
            <v>15.46</v>
          </cell>
        </row>
        <row r="1499">
          <cell r="A1499">
            <v>55865</v>
          </cell>
          <cell r="B1499" t="str">
            <v>ELETRODUTO DE PVC RIGIDO ROSCAVEL DN 40MM (1 1/2") INCL CONEXOES, FORNECIMENTO E INSTALACAO</v>
          </cell>
          <cell r="C1499" t="str">
            <v>M</v>
          </cell>
          <cell r="D1499">
            <v>16.23</v>
          </cell>
        </row>
        <row r="1500">
          <cell r="A1500">
            <v>55866</v>
          </cell>
          <cell r="B1500" t="str">
            <v>ELETRODUTO DE PVC RIGIDO ROSCAVEL DN 50MM (2"), INCL CONEXOES, FORNECIMENTO E INSTALACAO</v>
          </cell>
          <cell r="C1500" t="str">
            <v>M</v>
          </cell>
          <cell r="D1500">
            <v>18.059999999999999</v>
          </cell>
        </row>
        <row r="1501">
          <cell r="A1501">
            <v>55867</v>
          </cell>
          <cell r="B1501" t="str">
            <v>ELETRODUTO DE PVC RIGIDO ROSCAVEL DN 75MM (3"), INCL CONEXOES, FORNECIMENTO E INSTALACAO</v>
          </cell>
          <cell r="C1501" t="str">
            <v>M</v>
          </cell>
          <cell r="D1501">
            <v>33.92</v>
          </cell>
        </row>
        <row r="1502">
          <cell r="A1502">
            <v>55868</v>
          </cell>
          <cell r="B1502" t="str">
            <v>ELETRODUTO DE PVC RIGIDO ROSCAVEL DN 100MM (4"), INCL CONEXOES, FORNECIMENTO E INSTALACAO</v>
          </cell>
          <cell r="C1502" t="str">
            <v>M</v>
          </cell>
          <cell r="D1502">
            <v>44.81</v>
          </cell>
        </row>
        <row r="1503">
          <cell r="A1503">
            <v>72308</v>
          </cell>
          <cell r="B1503" t="str">
            <v>ELETRODUTO DE ACO GALVANIZADO ELETROLITICO DN 20MM (3/4"), TIPO LEVE, INCLUSIVE CONEXOES - FORNECIMENTO E INSTALACAO</v>
          </cell>
          <cell r="C1503" t="str">
            <v>M</v>
          </cell>
          <cell r="D1503">
            <v>19.27</v>
          </cell>
        </row>
        <row r="1504">
          <cell r="A1504">
            <v>72309</v>
          </cell>
          <cell r="B1504" t="str">
            <v>ELETRODUTO DE ACO GALVANIZADO ELETROLITICO DN 25MM (1"), TIPO LEVE, INCLUSIVE CONEXOES - FORNECIMENTO E INSTALACAO</v>
          </cell>
          <cell r="C1504" t="str">
            <v>M</v>
          </cell>
          <cell r="D1504">
            <v>20.74</v>
          </cell>
        </row>
        <row r="1505">
          <cell r="A1505">
            <v>72310</v>
          </cell>
          <cell r="B1505" t="str">
            <v>ELETRODUTO DE ACO GALVANIZADO ELETROLITICO DN 40MM (1 1/2"), TIPO SEMI-PESADO, INCLUSIVE CONEXOES - FORNECIMENTO E INSTALACAO</v>
          </cell>
          <cell r="C1505" t="str">
            <v>M</v>
          </cell>
          <cell r="D1505">
            <v>36.56</v>
          </cell>
        </row>
        <row r="1506">
          <cell r="A1506">
            <v>72311</v>
          </cell>
          <cell r="B1506" t="str">
            <v>ELETRODUTO DE ACO GALVANIZADO ELETROLITICO DN 50MM (2), TIPO SEMI-PESADO, INCLUSIVE CONEXOES - FORNECIMENTO E INSTALACAO</v>
          </cell>
          <cell r="C1506" t="str">
            <v>M</v>
          </cell>
          <cell r="D1506">
            <v>42.43</v>
          </cell>
        </row>
        <row r="1507">
          <cell r="A1507">
            <v>72312</v>
          </cell>
          <cell r="B1507" t="str">
            <v>ELETRODUTO DE ACO GALVANIZADO ELETROLITICO DN 62MM (2 1/2"), TIPO SEMI-PESADO, INCLUSIVE CONEXOES - FORNECIMENTO E INSTALACAO</v>
          </cell>
          <cell r="C1507" t="str">
            <v>M</v>
          </cell>
          <cell r="D1507">
            <v>59.42</v>
          </cell>
        </row>
        <row r="1508">
          <cell r="A1508">
            <v>72316</v>
          </cell>
          <cell r="B1508" t="str">
            <v>ELETRODUTO DE ACO GALVANIZADO ELETROLITICO DN 75MM (3"), TIPO SEMI-PESADO, INCLUSIVE CONEXOES - FORNECIMENTO E INSTALACAO</v>
          </cell>
          <cell r="C1508" t="str">
            <v>M</v>
          </cell>
          <cell r="D1508">
            <v>73.489999999999995</v>
          </cell>
        </row>
        <row r="1509">
          <cell r="A1509">
            <v>72925</v>
          </cell>
          <cell r="B1509" t="str">
            <v>ELETRODUTO METALICO FLEXIVEL DN 25MM FABRICADO COM FITA DE ACO ZINCADO, REVESTIDO EXTERNAMENTE COM  PVC PRETO, INCLUSIVE CONEXOES, FORNECIMENTO E INSTALACAO</v>
          </cell>
          <cell r="C1509" t="str">
            <v>M</v>
          </cell>
          <cell r="D1509">
            <v>14.61</v>
          </cell>
        </row>
        <row r="1510">
          <cell r="A1510">
            <v>72926</v>
          </cell>
          <cell r="B1510" t="str">
            <v>ELETRODUTO METALICO FLEXIVEL DN 40MM FABRICADO COM FITA DE ACO ZINCADO, REVESTIDO EXTERNAMENTE COM PVC PRETO, INCLUSIVE CONEXOES, FORNECIMENTO E INSTALACAO</v>
          </cell>
          <cell r="C1510" t="str">
            <v>M</v>
          </cell>
          <cell r="D1510">
            <v>26.63</v>
          </cell>
        </row>
        <row r="1511">
          <cell r="A1511">
            <v>72933</v>
          </cell>
          <cell r="B1511" t="str">
            <v>ELETRODUTO DE PVC FLEXIVEL CORRUGADO DN 16MM (1/2") FORNECIMENTO E INSTALACAO</v>
          </cell>
          <cell r="C1511" t="str">
            <v>M</v>
          </cell>
          <cell r="D1511">
            <v>3.18</v>
          </cell>
        </row>
        <row r="1512">
          <cell r="A1512">
            <v>72934</v>
          </cell>
          <cell r="B1512" t="str">
            <v>ELETRODUTO DE PVC FLEXIVEL CORRUGADO DN 20MM (3/4") FORNECIMENTO E INSTALACAO</v>
          </cell>
          <cell r="C1512" t="str">
            <v>M</v>
          </cell>
          <cell r="D1512">
            <v>3.88</v>
          </cell>
        </row>
        <row r="1513">
          <cell r="A1513">
            <v>72935</v>
          </cell>
          <cell r="B1513" t="str">
            <v>ELETRODUTO DE PVC FLEXIVEL CORRUGADO DN 25MM (1") FORNECIMENTO E INSTALACAO</v>
          </cell>
          <cell r="C1513" t="str">
            <v>M</v>
          </cell>
          <cell r="D1513">
            <v>4.9400000000000004</v>
          </cell>
        </row>
        <row r="1514">
          <cell r="A1514">
            <v>72936</v>
          </cell>
          <cell r="B1514" t="str">
            <v>ELETRODUTO DE PVC FLEXIVEL CORRUGADO DN32 MM (1 1/4") FORNECIMENTO E INSTALACAO</v>
          </cell>
          <cell r="C1514" t="str">
            <v>M</v>
          </cell>
          <cell r="D1514">
            <v>6.83</v>
          </cell>
        </row>
        <row r="1515">
          <cell r="A1515">
            <v>73613</v>
          </cell>
          <cell r="B1515" t="str">
            <v>ELETRODUTO DE PVC RIGIDO ROSCAVEL DN 20MM (3/4") INCL CONEXOES, FORNECIMENTO E INSTALACAO</v>
          </cell>
          <cell r="C1515" t="str">
            <v>M</v>
          </cell>
          <cell r="D1515">
            <v>8.83</v>
          </cell>
        </row>
        <row r="1516">
          <cell r="A1516">
            <v>73614</v>
          </cell>
          <cell r="B1516" t="str">
            <v>ELETRODUTO DE PVC RIGIDO ROSCAVEL DN 15MM (1/2") INCL CONEXOES, FORNECIMENTO E INSTALACAO</v>
          </cell>
          <cell r="C1516" t="str">
            <v>M</v>
          </cell>
          <cell r="D1516">
            <v>8.2200000000000006</v>
          </cell>
        </row>
        <row r="1517">
          <cell r="A1517">
            <v>73627</v>
          </cell>
          <cell r="B1517" t="str">
            <v>ELETRODUTO DE ACO GALVANIZADO ELETROLITICO DN 16MM (1/2"), TIPO LEVE, INCLUSIVE CONEXOES - FORNECIMENTO E INSTALACAO</v>
          </cell>
          <cell r="C1517" t="str">
            <v>M</v>
          </cell>
          <cell r="D1517">
            <v>17.36</v>
          </cell>
        </row>
        <row r="1518">
          <cell r="A1518" t="str">
            <v>73798/1</v>
          </cell>
          <cell r="B1518" t="str">
            <v>DUTO ESPIRAL FLEXIVEL SINGELO PEAD D=50MM(2") REVESTIDO COM PVC COM FIO GUIA DE ACO GALVANIZADO, LANCADO DIRETO NO SOLO, INCL CONEXOES</v>
          </cell>
          <cell r="C1518" t="str">
            <v>M</v>
          </cell>
          <cell r="D1518">
            <v>18.48</v>
          </cell>
        </row>
        <row r="1519">
          <cell r="A1519" t="str">
            <v>73798/3</v>
          </cell>
          <cell r="B1519" t="str">
            <v>DUTO ESPIRAL FLEXIVEL SINGELO PEAD D=75MM(3") REVESTIDO COM PVC COM FIO GUIA DE ACO GALVANIZADO, LANCADO DIRETO NO SOLO, INCL CONEXOES</v>
          </cell>
          <cell r="C1519" t="str">
            <v>M</v>
          </cell>
          <cell r="D1519">
            <v>29.7</v>
          </cell>
        </row>
        <row r="1520">
          <cell r="A1520" t="str">
            <v>74252/1</v>
          </cell>
          <cell r="B1520" t="str">
            <v>ELETRODUTO DE PVC RIGIDO ROSCAVEL DN 25MM (1") INCL CONEXOES, FORNECIMENTO E INSTALACAO</v>
          </cell>
          <cell r="C1520" t="str">
            <v>M</v>
          </cell>
          <cell r="D1520">
            <v>10.01</v>
          </cell>
        </row>
        <row r="1521">
          <cell r="A1521">
            <v>83407</v>
          </cell>
          <cell r="B1521" t="str">
            <v>ELETRODUTO DE PVC RIGIDO ROSCAVEL DN 32MM (1 1/4") INCL CONEXOES, FORNECIMENTO E INSTALACAO</v>
          </cell>
          <cell r="C1521" t="str">
            <v>M</v>
          </cell>
          <cell r="D1521">
            <v>14.95</v>
          </cell>
        </row>
        <row r="1522">
          <cell r="A1522">
            <v>83408</v>
          </cell>
          <cell r="B1522" t="str">
            <v>ELETRODUTO DE PVC RIGIDO ROSCAVEL DN 60MM (2 1/2") INCL CONEXOES, FORNECIMENTO E INSTALACAO</v>
          </cell>
          <cell r="C1522" t="str">
            <v>M</v>
          </cell>
          <cell r="D1522">
            <v>29.56</v>
          </cell>
        </row>
        <row r="1523">
          <cell r="A1523">
            <v>83409</v>
          </cell>
          <cell r="B1523" t="str">
            <v>ELETRODUTO FLEXIVEL ACO GALV TIPO CONDUITE D = 1/2" (16MM) - FORNECIMENTO E INSTALACAO</v>
          </cell>
          <cell r="C1523" t="str">
            <v>M</v>
          </cell>
          <cell r="D1523">
            <v>8.11</v>
          </cell>
        </row>
        <row r="1524">
          <cell r="A1524">
            <v>83410</v>
          </cell>
          <cell r="B1524" t="str">
            <v>ELETRODUTO FLEXIVEL ACO GALV TIPO CONDUITE D = 1" (25MM) - FORNECIMENTO E INSTALACAO</v>
          </cell>
          <cell r="C1524" t="str">
            <v>M</v>
          </cell>
          <cell r="D1524">
            <v>11.26</v>
          </cell>
        </row>
        <row r="1525">
          <cell r="A1525">
            <v>83411</v>
          </cell>
          <cell r="B1525" t="str">
            <v>ELETRODUTO FLEXIVEL ACO GALV TIPO CONDUITE D = 1 1/4" (32MM) - FORNECIMENTO E INSTALACAO</v>
          </cell>
          <cell r="C1525" t="str">
            <v>M</v>
          </cell>
          <cell r="D1525">
            <v>14.61</v>
          </cell>
        </row>
        <row r="1526">
          <cell r="A1526">
            <v>83412</v>
          </cell>
          <cell r="B1526" t="str">
            <v>ELETRODUTO FLEXIVEL ACO GALV TIPO CONDUITE D = 1 1/2" (40MM) - FORNECIMENTO E INSTALACAO</v>
          </cell>
          <cell r="C1526" t="str">
            <v>M</v>
          </cell>
          <cell r="D1526">
            <v>16.5</v>
          </cell>
        </row>
        <row r="1527">
          <cell r="A1527">
            <v>83413</v>
          </cell>
          <cell r="B1527" t="str">
            <v>ELETRODUTO FLEXIVEL ACO GALV TIPO CONDUITE D = 2" (50MM) - FORNECIMENTO E INSTALACAO</v>
          </cell>
          <cell r="C1527" t="str">
            <v>M</v>
          </cell>
          <cell r="D1527">
            <v>22.57</v>
          </cell>
        </row>
        <row r="1528">
          <cell r="A1528">
            <v>83414</v>
          </cell>
          <cell r="B1528" t="str">
            <v>ELETRODUTO FLEXIVEL ACO GALV TIPO CONDUITE D = 2 1/2" (65MM) - FORNECIMENTO E INSTALACAO</v>
          </cell>
          <cell r="C1528" t="str">
            <v>M</v>
          </cell>
          <cell r="D1528">
            <v>27.6</v>
          </cell>
        </row>
        <row r="1529">
          <cell r="A1529">
            <v>83415</v>
          </cell>
          <cell r="B1529" t="str">
            <v>ELETRODUTO FLEXIVEL ACO GALV TIPO CONDUITE D = 3" (75MM) - FORNECIMENTO E INSTALACAO</v>
          </cell>
          <cell r="C1529" t="str">
            <v>M</v>
          </cell>
          <cell r="D1529">
            <v>40.49</v>
          </cell>
        </row>
        <row r="1530">
          <cell r="A1530">
            <v>72259</v>
          </cell>
          <cell r="B1530" t="str">
            <v>TERMINAL OU CONECTOR DE PRESSAO - PARA CABO 10MM2 - FORNECIMENTO E INSTALACAO</v>
          </cell>
          <cell r="C1530" t="str">
            <v>UN</v>
          </cell>
          <cell r="D1530">
            <v>8.48</v>
          </cell>
        </row>
        <row r="1531">
          <cell r="A1531">
            <v>72260</v>
          </cell>
          <cell r="B1531" t="str">
            <v>TERMINAL OU CONECTOR DE PRESSAO - PARA CABO 16MM2 - FORNECIMENTO E INSTALACAO</v>
          </cell>
          <cell r="C1531" t="str">
            <v>UN</v>
          </cell>
          <cell r="D1531">
            <v>8.9600000000000009</v>
          </cell>
        </row>
        <row r="1532">
          <cell r="A1532">
            <v>72261</v>
          </cell>
          <cell r="B1532" t="str">
            <v>TERMINAL OU CONECTOR DE PRESSAO - PARA CABO 25MM2 - FORNECIMENTO E INSTALACAO</v>
          </cell>
          <cell r="C1532" t="str">
            <v>UN</v>
          </cell>
          <cell r="D1532">
            <v>9.76</v>
          </cell>
        </row>
        <row r="1533">
          <cell r="A1533">
            <v>72262</v>
          </cell>
          <cell r="B1533" t="str">
            <v>TERMINAL OU CONECTOR DE PRESSAO - PARA CABO 35MM2 - FORNECIMENTO E INSTALACAO</v>
          </cell>
          <cell r="C1533" t="str">
            <v>UN</v>
          </cell>
          <cell r="D1533">
            <v>9.76</v>
          </cell>
        </row>
        <row r="1534">
          <cell r="A1534">
            <v>72263</v>
          </cell>
          <cell r="B1534" t="str">
            <v>TERMINAL OU CONECTOR DE PRESSAO - PARA CABO 50MM2 - FORNECIMENTO E INSTALACAO</v>
          </cell>
          <cell r="C1534" t="str">
            <v>UN</v>
          </cell>
          <cell r="D1534">
            <v>12.91</v>
          </cell>
        </row>
        <row r="1535">
          <cell r="A1535">
            <v>72264</v>
          </cell>
          <cell r="B1535" t="str">
            <v>TERMINAL OU CONECTOR DE PRESSAO - PARA CABO 70MM2 - FORNECIMENTO E INSTALACAO</v>
          </cell>
          <cell r="C1535" t="str">
            <v>UN</v>
          </cell>
          <cell r="D1535">
            <v>12.91</v>
          </cell>
        </row>
        <row r="1536">
          <cell r="A1536">
            <v>72265</v>
          </cell>
          <cell r="B1536" t="str">
            <v>TERMINAL OU CONECTOR DE PRESSAO - PARA CABO 95MM2 - FORNECIMENTO E INSTALACAO</v>
          </cell>
          <cell r="C1536" t="str">
            <v>UN</v>
          </cell>
          <cell r="D1536">
            <v>14.52</v>
          </cell>
        </row>
        <row r="1537">
          <cell r="A1537">
            <v>72266</v>
          </cell>
          <cell r="B1537" t="str">
            <v>TERMINAL OU CONECTOR DE PRESSAO - PARA CABO 120MM2 - FORNECIMENTO E INSTALACAO</v>
          </cell>
          <cell r="C1537" t="str">
            <v>UN</v>
          </cell>
          <cell r="D1537">
            <v>18.63</v>
          </cell>
        </row>
        <row r="1538">
          <cell r="A1538">
            <v>72267</v>
          </cell>
          <cell r="B1538" t="str">
            <v>TERMINAL OU CONECTOR DE PRESSAO - PARA CABO 150MM2 - FORNECIMENTO E INSTALACAO</v>
          </cell>
          <cell r="C1538" t="str">
            <v>UN</v>
          </cell>
          <cell r="D1538">
            <v>18.63</v>
          </cell>
        </row>
        <row r="1539">
          <cell r="A1539">
            <v>72268</v>
          </cell>
          <cell r="B1539" t="str">
            <v>TERMINAL OU CONECTOR DE PRESSAO - PARA CABO 185MM2 - FORNECIMENTO E INSTALACAO</v>
          </cell>
          <cell r="C1539" t="str">
            <v>UN</v>
          </cell>
          <cell r="D1539">
            <v>18.63</v>
          </cell>
        </row>
        <row r="1540">
          <cell r="A1540">
            <v>72269</v>
          </cell>
          <cell r="B1540" t="str">
            <v>TERMINAL OU CONECTOR DE PRESSAO - PARA CABO 240MM2 - FORNECIMENTO E INSTALACAO</v>
          </cell>
          <cell r="C1540" t="str">
            <v>UN</v>
          </cell>
          <cell r="D1540">
            <v>24.28</v>
          </cell>
        </row>
        <row r="1541">
          <cell r="A1541">
            <v>72270</v>
          </cell>
          <cell r="B1541" t="str">
            <v>TERMINAL OU CONECTOR DE PRESSAO - PARA CABO 300MM2 - FORNECIMENTO E INSTALACAO</v>
          </cell>
          <cell r="C1541" t="str">
            <v>UN</v>
          </cell>
          <cell r="D1541">
            <v>21.2</v>
          </cell>
        </row>
        <row r="1542">
          <cell r="A1542">
            <v>72271</v>
          </cell>
          <cell r="B1542" t="str">
            <v>CONECTOR PARAFUSO FENDIDO SPLIT-BOLT - PARA CABO DE 16MM2 - FORNECIMENTO E INSTALACAO</v>
          </cell>
          <cell r="C1542" t="str">
            <v>UN</v>
          </cell>
          <cell r="D1542">
            <v>6.68</v>
          </cell>
        </row>
        <row r="1543">
          <cell r="A1543">
            <v>72272</v>
          </cell>
          <cell r="B1543" t="str">
            <v>CONECTOR PARAFUSO FENDIDO SPLIT-BOLT - PARA CABO DE 35MM2 - FORNECIMENTO E INSTALACAO</v>
          </cell>
          <cell r="C1543" t="str">
            <v>UN</v>
          </cell>
          <cell r="D1543">
            <v>7.16</v>
          </cell>
        </row>
        <row r="1544">
          <cell r="A1544" t="str">
            <v>73782/2</v>
          </cell>
          <cell r="B1544" t="str">
            <v>TERMINAL A PRESSAO REFORCADO PARA CONEXAO DE CABO DE COBRE A BARRA, CABO 50 E 70MM2 - FORNECIMENTO E INSTALACAO</v>
          </cell>
          <cell r="C1544" t="str">
            <v>UN</v>
          </cell>
          <cell r="D1544">
            <v>21.93</v>
          </cell>
        </row>
        <row r="1545">
          <cell r="A1545" t="str">
            <v>73782/3</v>
          </cell>
          <cell r="B1545" t="str">
            <v>TERMINAL A PRESSAO REFORCADO PARA CONEXAO DE CABO DE COBRE A BARRA, CABO 95 E 120MM2 - FORNECIMENTO E INSTALACAO</v>
          </cell>
          <cell r="C1545" t="str">
            <v>UN</v>
          </cell>
          <cell r="D1545">
            <v>33.49</v>
          </cell>
        </row>
        <row r="1546">
          <cell r="A1546" t="str">
            <v>73782/4</v>
          </cell>
          <cell r="B1546" t="str">
            <v>TERMINAL A PRESSAO REFORCADO PARA CONEXAO DE CABO DE COBRE A BARRA, CABO 150 E 185MM2 - FORNECIMENTO E INSTALACAO</v>
          </cell>
          <cell r="C1546" t="str">
            <v>UN</v>
          </cell>
          <cell r="D1546">
            <v>40.42</v>
          </cell>
        </row>
        <row r="1547">
          <cell r="A1547" t="str">
            <v>73782/5</v>
          </cell>
          <cell r="B1547" t="str">
            <v>TERMINAL A PRESSAO REFORCADO PARA CONEXAO DE CABO DE COBRE A BARRA, CABO 16 E 25MM2 - FORNECIMENTO E INSTALACAO</v>
          </cell>
          <cell r="C1547" t="str">
            <v>UN</v>
          </cell>
          <cell r="D1547">
            <v>13.73</v>
          </cell>
        </row>
        <row r="1548">
          <cell r="A1548">
            <v>83377</v>
          </cell>
          <cell r="B1548" t="str">
            <v>CONECTOR DE PARAFUSO FENDIDO EM LIGA DE COBRE COM SEPARADOR DE CABOS PARA CABO 50 MM2 - FORNECIMENTO E INSTALACAO</v>
          </cell>
          <cell r="C1548" t="str">
            <v>UN</v>
          </cell>
          <cell r="D1548">
            <v>7.62</v>
          </cell>
        </row>
        <row r="1549">
          <cell r="A1549">
            <v>55869</v>
          </cell>
          <cell r="B1549" t="str">
            <v>FIO DE COBRE ISOLADO PARALELO OU TORCIDO 2 X 1,5MM2</v>
          </cell>
          <cell r="C1549" t="str">
            <v>M</v>
          </cell>
          <cell r="D1549">
            <v>5.69</v>
          </cell>
        </row>
        <row r="1550">
          <cell r="A1550">
            <v>72249</v>
          </cell>
          <cell r="B1550" t="str">
            <v>CABO DE COBRE NU 6MM2 - FORNECIMENTO E INSTALACAO</v>
          </cell>
          <cell r="C1550" t="str">
            <v>M</v>
          </cell>
          <cell r="D1550">
            <v>4.3099999999999996</v>
          </cell>
        </row>
        <row r="1551">
          <cell r="A1551">
            <v>72250</v>
          </cell>
          <cell r="B1551" t="str">
            <v>CABO DE COBRE NU 10MM2 - FORNECIMENTO E INSTALACAO</v>
          </cell>
          <cell r="C1551" t="str">
            <v>M</v>
          </cell>
          <cell r="D1551">
            <v>6.23</v>
          </cell>
        </row>
        <row r="1552">
          <cell r="A1552">
            <v>72251</v>
          </cell>
          <cell r="B1552" t="str">
            <v>CABO DE COBRE NU 16MM2 - FORNECIMENTO E INSTALACAO</v>
          </cell>
          <cell r="C1552" t="str">
            <v>M</v>
          </cell>
          <cell r="D1552">
            <v>8.0299999999999994</v>
          </cell>
        </row>
        <row r="1553">
          <cell r="A1553">
            <v>72252</v>
          </cell>
          <cell r="B1553" t="str">
            <v>CABO DE COBRE NU 25MM2 - FORNECIMENTO E INSTALACAO</v>
          </cell>
          <cell r="C1553" t="str">
            <v>M</v>
          </cell>
          <cell r="D1553">
            <v>12.95</v>
          </cell>
        </row>
        <row r="1554">
          <cell r="A1554">
            <v>72253</v>
          </cell>
          <cell r="B1554" t="str">
            <v>CABO DE COBRE NU 35MM2 - FORNECIMENTO E INSTALACAO</v>
          </cell>
          <cell r="C1554" t="str">
            <v>M</v>
          </cell>
          <cell r="D1554">
            <v>16.45</v>
          </cell>
        </row>
        <row r="1555">
          <cell r="A1555">
            <v>72254</v>
          </cell>
          <cell r="B1555" t="str">
            <v>CABO DE COBRE NU 50MM2 - FORNECIMENTO E INSTALACAO</v>
          </cell>
          <cell r="C1555" t="str">
            <v>M</v>
          </cell>
          <cell r="D1555">
            <v>22.23</v>
          </cell>
        </row>
        <row r="1556">
          <cell r="A1556">
            <v>72255</v>
          </cell>
          <cell r="B1556" t="str">
            <v>CABO DE COBRE NU 70MM2 - FORNECIMENTO E INSTALACAO</v>
          </cell>
          <cell r="C1556" t="str">
            <v>M</v>
          </cell>
          <cell r="D1556">
            <v>30.25</v>
          </cell>
        </row>
        <row r="1557">
          <cell r="A1557">
            <v>72256</v>
          </cell>
          <cell r="B1557" t="str">
            <v>CABO DE COBRE NU 95MM2 - FORNECIMENTO E INSTALACAO</v>
          </cell>
          <cell r="C1557" t="str">
            <v>M</v>
          </cell>
          <cell r="D1557">
            <v>38.159999999999997</v>
          </cell>
        </row>
        <row r="1558">
          <cell r="A1558">
            <v>72257</v>
          </cell>
          <cell r="B1558" t="str">
            <v>CABO DE COBRE NU 120MM2 - FORNECIMENTO E INSTALACAO</v>
          </cell>
          <cell r="C1558" t="str">
            <v>M</v>
          </cell>
          <cell r="D1558">
            <v>47.76</v>
          </cell>
        </row>
        <row r="1559">
          <cell r="A1559" t="str">
            <v>73860/7</v>
          </cell>
          <cell r="B1559" t="str">
            <v>CABO DE COBRE ISOLADO PVC 450/750V 1,5MM2 RESISTENTE A CHAMA - FORNECIMENTO E INSTALACAO</v>
          </cell>
          <cell r="C1559" t="str">
            <v>M</v>
          </cell>
          <cell r="D1559">
            <v>1.78</v>
          </cell>
        </row>
        <row r="1560">
          <cell r="A1560" t="str">
            <v>73860/8</v>
          </cell>
          <cell r="B1560" t="str">
            <v>CABO DE COBRE ISOLADO PVC 450/750V 2,5MM2 RESISTENTE A CHAMA - FORNECIMENTO E INSTALACAO</v>
          </cell>
          <cell r="C1560" t="str">
            <v>M</v>
          </cell>
          <cell r="D1560">
            <v>2.35</v>
          </cell>
        </row>
        <row r="1561">
          <cell r="A1561" t="str">
            <v>73860/9</v>
          </cell>
          <cell r="B1561" t="str">
            <v>CABO DE COBRE ISOLADO PVC 450/750V 4MM2 RESISTENTE A CHAMA - FORNECIMENTO E INSTALACAO</v>
          </cell>
          <cell r="C1561" t="str">
            <v>M</v>
          </cell>
          <cell r="D1561">
            <v>3.48</v>
          </cell>
        </row>
        <row r="1562">
          <cell r="A1562" t="str">
            <v>73860/10</v>
          </cell>
          <cell r="B1562" t="str">
            <v>CABO DE COBRE ISOLADO PVC 450/750V 6MM2 RESISTENTE A CHAMA - FORNECIMENTO E INSTALACAO</v>
          </cell>
          <cell r="C1562" t="str">
            <v>M</v>
          </cell>
          <cell r="D1562">
            <v>4.75</v>
          </cell>
        </row>
        <row r="1563">
          <cell r="A1563" t="str">
            <v>73860/11</v>
          </cell>
          <cell r="B1563" t="str">
            <v>CABO DE COBRE ISOLADO PVC 450/750V 10MM2 RESISTENTE A CHAMA - FORNECIMENTO E INSTALACAO</v>
          </cell>
          <cell r="C1563" t="str">
            <v>M</v>
          </cell>
          <cell r="D1563">
            <v>7.38</v>
          </cell>
        </row>
        <row r="1564">
          <cell r="A1564" t="str">
            <v>73860/12</v>
          </cell>
          <cell r="B1564" t="str">
            <v>CABO DE COBRE ISOLADO PVC 450/750V 16MM2 RESISTENTE A CHAMA - FORNECIMENTO E INSTALACAO</v>
          </cell>
          <cell r="C1564" t="str">
            <v>M</v>
          </cell>
          <cell r="D1564">
            <v>8.48</v>
          </cell>
        </row>
        <row r="1565">
          <cell r="A1565" t="str">
            <v>73860/13</v>
          </cell>
          <cell r="B1565" t="str">
            <v>CABO DE COBRE ISOLADO PVC 450/750V 25MM2 RESISTENTE A CHAMA - FORNECIMENTO E INSTALACAO</v>
          </cell>
          <cell r="C1565" t="str">
            <v>M</v>
          </cell>
          <cell r="D1565">
            <v>12.38</v>
          </cell>
        </row>
        <row r="1566">
          <cell r="A1566" t="str">
            <v>73860/14</v>
          </cell>
          <cell r="B1566" t="str">
            <v>CABO DE COBRE ISOLADO PVC 450/750V 50MM2 RESISTENTE A CHAMA - FORNECIMENTO E INSTALACAO</v>
          </cell>
          <cell r="C1566" t="str">
            <v>M</v>
          </cell>
          <cell r="D1566">
            <v>22.63</v>
          </cell>
        </row>
        <row r="1567">
          <cell r="A1567" t="str">
            <v>73860/15</v>
          </cell>
          <cell r="B1567" t="str">
            <v>CABO DE COBRE ISOLADO PVC 450/750V 70MM2 RESISTENTE A CHAMA - FORNECIMENTO E INSTALACAO</v>
          </cell>
          <cell r="C1567" t="str">
            <v>M</v>
          </cell>
          <cell r="D1567">
            <v>32.270000000000003</v>
          </cell>
        </row>
        <row r="1568">
          <cell r="A1568" t="str">
            <v>73860/16</v>
          </cell>
          <cell r="B1568" t="str">
            <v>CABO DE COBRE ISOLADO PVC 450/750V 95MM2 RESISTENTE A CHAMA - FORNECIMENTO E INSTALACAO</v>
          </cell>
          <cell r="C1568" t="str">
            <v>M</v>
          </cell>
          <cell r="D1568">
            <v>42.68</v>
          </cell>
        </row>
        <row r="1569">
          <cell r="A1569" t="str">
            <v>73860/17</v>
          </cell>
          <cell r="B1569" t="str">
            <v>CABO DE COBRE ISOLADO PVC 450/750V 120MM2 RESISTENTE A CHAMA - FORNECIMENTO E INSTALACAO</v>
          </cell>
          <cell r="C1569" t="str">
            <v>M</v>
          </cell>
          <cell r="D1569">
            <v>52.67</v>
          </cell>
        </row>
        <row r="1570">
          <cell r="A1570" t="str">
            <v>73860/18</v>
          </cell>
          <cell r="B1570" t="str">
            <v>CABO DE COBRE ISOLADO PVC 450/750V 150MM2 RESISTENTE A CHAMA - FORNECIMENTO E INSTALACAO</v>
          </cell>
          <cell r="C1570" t="str">
            <v>M</v>
          </cell>
          <cell r="D1570">
            <v>63.14</v>
          </cell>
        </row>
        <row r="1571">
          <cell r="A1571" t="str">
            <v>73860/19</v>
          </cell>
          <cell r="B1571" t="str">
            <v>CABO DE COBRE ISOLADO PVC 450/750V 185MM2 RESISTENTE A CHAMA - FORNECIMENTO E INSTALACAO</v>
          </cell>
          <cell r="C1571" t="str">
            <v>M</v>
          </cell>
          <cell r="D1571">
            <v>77.88</v>
          </cell>
        </row>
        <row r="1572">
          <cell r="A1572" t="str">
            <v>73860/20</v>
          </cell>
          <cell r="B1572" t="str">
            <v>CABO DE COBRE ISOLADO PVC 450/750V 240MM2 RESISTENTE A CHAMA - FORNECIMENTO E INSTALACAO</v>
          </cell>
          <cell r="C1572" t="str">
            <v>M</v>
          </cell>
          <cell r="D1572">
            <v>99.51</v>
          </cell>
        </row>
        <row r="1573">
          <cell r="A1573" t="str">
            <v>73860/21</v>
          </cell>
          <cell r="B1573" t="str">
            <v>CABO DE COBRE ISOLADO PVC 450/750V 300MM2 RESISTENTE A CHAMA - FORNECIMENTO E INSTALACAO</v>
          </cell>
          <cell r="C1573" t="str">
            <v>M</v>
          </cell>
          <cell r="D1573">
            <v>119.71</v>
          </cell>
        </row>
        <row r="1574">
          <cell r="A1574" t="str">
            <v>73860/22</v>
          </cell>
          <cell r="B1574" t="str">
            <v>CABO DE COBRE ISOLADO PVC 450/750V 35MM2 RESISTENTE A CHAMA - FORNECIMENTO E INSTALACAO</v>
          </cell>
          <cell r="C1574" t="str">
            <v>M</v>
          </cell>
          <cell r="D1574">
            <v>16.79</v>
          </cell>
        </row>
        <row r="1575">
          <cell r="A1575">
            <v>83416</v>
          </cell>
          <cell r="B1575" t="str">
            <v>CABO DE COBRE ISOLAMENTO TERMOPLASTICO 0,6/1KV 1,5MM2 ANTI-CHAMA - FORNECIMENTO E INSTALACAO</v>
          </cell>
          <cell r="C1575" t="str">
            <v>M</v>
          </cell>
          <cell r="D1575">
            <v>2.13</v>
          </cell>
        </row>
        <row r="1576">
          <cell r="A1576">
            <v>83417</v>
          </cell>
          <cell r="B1576" t="str">
            <v>CABO DE COBRE ISOLAMENTO TERMOPLASTICO 0,6/1KV 2,5MM2 ANTI-CHAMA - FORNECIMENTO E INSTALACAO</v>
          </cell>
          <cell r="C1576" t="str">
            <v>M</v>
          </cell>
          <cell r="D1576">
            <v>2.7</v>
          </cell>
        </row>
        <row r="1577">
          <cell r="A1577">
            <v>83418</v>
          </cell>
          <cell r="B1577" t="str">
            <v>CABO DE COBRE ISOLAMENTO TERMOPLASTICO 0,6/1KV 4MM2 ANTI-CHAMA - FORNECIMENTO E INSTALACAO</v>
          </cell>
          <cell r="C1577" t="str">
            <v>M</v>
          </cell>
          <cell r="D1577">
            <v>4.01</v>
          </cell>
        </row>
        <row r="1578">
          <cell r="A1578">
            <v>83419</v>
          </cell>
          <cell r="B1578" t="str">
            <v>CABO DE COBRE ISOLAMENTO TERMOPLASTICO 0,6/1KV 6MM2 ANTI-CHAMA - FORNECIMENTO E INSTALACAO</v>
          </cell>
          <cell r="C1578" t="str">
            <v>M</v>
          </cell>
          <cell r="D1578">
            <v>4.8600000000000003</v>
          </cell>
        </row>
        <row r="1579">
          <cell r="A1579">
            <v>83420</v>
          </cell>
          <cell r="B1579" t="str">
            <v>CABO DE COBRE ISOLAMENTO TERMOPLASTICO 0,6/1KV 10MM2 ANTI-CHAMA - FORNECIMENTO E INSTALACAO</v>
          </cell>
          <cell r="C1579" t="str">
            <v>M</v>
          </cell>
          <cell r="D1579">
            <v>6.85</v>
          </cell>
        </row>
        <row r="1580">
          <cell r="A1580">
            <v>83421</v>
          </cell>
          <cell r="B1580" t="str">
            <v>CABO DE COBRE ISOLAMENTO TERMOPLASTICO 0,6/1KV 16MM2 ANTI-CHAMA - FORNECIMENTO E INSTALACAO</v>
          </cell>
          <cell r="C1580" t="str">
            <v>M</v>
          </cell>
          <cell r="D1580">
            <v>9.6199999999999992</v>
          </cell>
        </row>
        <row r="1581">
          <cell r="A1581">
            <v>83422</v>
          </cell>
          <cell r="B1581" t="str">
            <v>CABO DE COBRE ISOLAMENTO TERMOPLASTICO 0,6/1KV 25MM2 ANTI-CHAMA - FORNECIMENTO E INSTALACAO</v>
          </cell>
          <cell r="C1581" t="str">
            <v>M</v>
          </cell>
          <cell r="D1581">
            <v>13.99</v>
          </cell>
        </row>
        <row r="1582">
          <cell r="A1582">
            <v>83423</v>
          </cell>
          <cell r="B1582" t="str">
            <v>CABO DE COBRE ISOLAMENTO TERMOPLASTICO 0,6/1KV 35MM2 ANTI-CHAMA - FORNECIMENTO E INSTALACAO</v>
          </cell>
          <cell r="C1582" t="str">
            <v>M</v>
          </cell>
          <cell r="D1582">
            <v>18.829999999999998</v>
          </cell>
        </row>
        <row r="1583">
          <cell r="A1583">
            <v>83424</v>
          </cell>
          <cell r="B1583" t="str">
            <v>CABO DE COBRE ISOLAMENTO TERMOPLASTICO 0,6/1KV 50MM2 ANTI-CHAMA - FORNECIMENTO E INSTALACAO</v>
          </cell>
          <cell r="C1583" t="str">
            <v>M</v>
          </cell>
          <cell r="D1583">
            <v>25.44</v>
          </cell>
        </row>
        <row r="1584">
          <cell r="A1584">
            <v>83425</v>
          </cell>
          <cell r="B1584" t="str">
            <v>CABO DE COBRE ISOLAMENTO TERMOPLASTICO 0,6/1KV 70MM2 ANTI-CHAMA - FORNECIMENTO E INSTALACAO</v>
          </cell>
          <cell r="C1584" t="str">
            <v>M</v>
          </cell>
          <cell r="D1584">
            <v>34.9</v>
          </cell>
        </row>
        <row r="1585">
          <cell r="A1585">
            <v>83431</v>
          </cell>
          <cell r="B1585" t="str">
            <v>CABO DE COBRE ISOLAMENTO TERMOPLASTICO 0,6/1KV 95MM2 ANTI-CHAMA - FORNECIMENTO E INSTALACAO</v>
          </cell>
          <cell r="C1585" t="str">
            <v>M</v>
          </cell>
          <cell r="D1585">
            <v>47.81</v>
          </cell>
        </row>
        <row r="1586">
          <cell r="A1586">
            <v>83432</v>
          </cell>
          <cell r="B1586" t="str">
            <v>CABO DE COBRE ISOLAMENTO TERMOPLASTICO 0,6/1KV 120MM2 ANTI-CHAMA - FORNECIMENTO E INSTALACAO</v>
          </cell>
          <cell r="C1586" t="str">
            <v>M</v>
          </cell>
          <cell r="D1586">
            <v>55.31</v>
          </cell>
        </row>
        <row r="1587">
          <cell r="A1587">
            <v>83433</v>
          </cell>
          <cell r="B1587" t="str">
            <v>CABO DE COBRE ISOLAMENTO TERMOPLASTICO 0,6/1KV 150MM2 ANTI-CHAMA - FORNECIMENTO E INSTALACAO</v>
          </cell>
          <cell r="C1587" t="str">
            <v>M</v>
          </cell>
          <cell r="D1587">
            <v>69.290000000000006</v>
          </cell>
        </row>
        <row r="1588">
          <cell r="A1588">
            <v>83434</v>
          </cell>
          <cell r="B1588" t="str">
            <v>CABO DE COBRE ISOLAMENTO TERMOPLASTICO 0,6/1KV 185MM2 ANTI-CHAMA - FORNECIMENTO E INSTALACAO</v>
          </cell>
          <cell r="C1588" t="str">
            <v>M</v>
          </cell>
          <cell r="D1588">
            <v>84.04</v>
          </cell>
        </row>
        <row r="1589">
          <cell r="A1589">
            <v>83435</v>
          </cell>
          <cell r="B1589" t="str">
            <v>CABO DE COBRE ISOLAMENTO TERMOPLASTICO 0,6/1KV 240MM2 ANTI-CHAMA - FORNECIMENTO E INSTALACAO</v>
          </cell>
          <cell r="C1589" t="str">
            <v>M</v>
          </cell>
          <cell r="D1589">
            <v>111.43</v>
          </cell>
        </row>
        <row r="1590">
          <cell r="A1590">
            <v>83436</v>
          </cell>
          <cell r="B1590" t="str">
            <v>CABO DE COBRE ISOLAMENTO TERMOPLASTICO 0,6/1KV 300MM2 ANTI-CHAMA - FORNECIMENTO E INSTALACAO</v>
          </cell>
          <cell r="C1590" t="str">
            <v>M</v>
          </cell>
          <cell r="D1590">
            <v>131.58000000000001</v>
          </cell>
        </row>
        <row r="1591">
          <cell r="A1591">
            <v>84682</v>
          </cell>
          <cell r="B1591" t="str">
            <v>FIO DE COBRE NU 4 MM2 - FORNECIMENTO E INSTALACAO</v>
          </cell>
          <cell r="C1591" t="str">
            <v>M</v>
          </cell>
          <cell r="D1591">
            <v>1.36</v>
          </cell>
        </row>
        <row r="1592">
          <cell r="A1592" t="str">
            <v>73861/1</v>
          </cell>
          <cell r="B1592" t="str">
            <v>CONDULETE 1/2" EM LIGA DE ALUMÍNIO FUNDIDO TIPO B - FORNECIMENTO E INSTALACAO</v>
          </cell>
          <cell r="C1592" t="str">
            <v>UN</v>
          </cell>
          <cell r="D1592">
            <v>7.5</v>
          </cell>
        </row>
        <row r="1593">
          <cell r="A1593" t="str">
            <v>73861/2</v>
          </cell>
          <cell r="B1593" t="str">
            <v>CONDULETE 3/4" EM LIGA DE ALUMÍNIO FUNDIDO TIPO "B" - FORNECIMENTO E INSTALACAO</v>
          </cell>
          <cell r="C1593" t="str">
            <v>UN</v>
          </cell>
          <cell r="D1593">
            <v>8.67</v>
          </cell>
        </row>
        <row r="1594">
          <cell r="A1594" t="str">
            <v>73861/3</v>
          </cell>
          <cell r="B1594" t="str">
            <v>CONDULETE 1" EM LIGA DE ALUMÍNIO FUNDIDO TIPO "B" - FORNECIMENTO E INSTALACAO</v>
          </cell>
          <cell r="C1594" t="str">
            <v>UN</v>
          </cell>
          <cell r="D1594">
            <v>11.88</v>
          </cell>
        </row>
        <row r="1595">
          <cell r="A1595" t="str">
            <v>73861/4</v>
          </cell>
          <cell r="B1595" t="str">
            <v>CONDULETE 1/2" EM LIGA DE ALUMÍNIO FUNDIDO TIPO "C" - FORNECIMENTO E INSTALACAO</v>
          </cell>
          <cell r="C1595" t="str">
            <v>UN</v>
          </cell>
          <cell r="D1595">
            <v>8.25</v>
          </cell>
        </row>
        <row r="1596">
          <cell r="A1596" t="str">
            <v>73861/5</v>
          </cell>
          <cell r="B1596" t="str">
            <v>CONDULETE  3/4" EM LIGA DE ALUMÍNIO FUNDIDO TIPO "C" - FORNECIMENTO E INSTALACAO</v>
          </cell>
          <cell r="C1596" t="str">
            <v>UN</v>
          </cell>
          <cell r="D1596">
            <v>8.99</v>
          </cell>
        </row>
        <row r="1597">
          <cell r="A1597" t="str">
            <v>73861/6</v>
          </cell>
          <cell r="B1597" t="str">
            <v>CONDULETE 1" EM LIGA DE ALUMÍNIO FUNDIDO TIPO "C" - FORNECIMENTO E INSTALACAO</v>
          </cell>
          <cell r="C1597" t="str">
            <v>UN</v>
          </cell>
          <cell r="D1597">
            <v>12.98</v>
          </cell>
        </row>
        <row r="1598">
          <cell r="A1598" t="str">
            <v>73861/7</v>
          </cell>
          <cell r="B1598" t="str">
            <v>CONDULETE 1/2" EM LIGA DE ALUMÍNIO FUNDIDO TIPO "E" - FORNECIMENTO E INSTALACAO</v>
          </cell>
          <cell r="C1598" t="str">
            <v>UN</v>
          </cell>
          <cell r="D1598">
            <v>7.12</v>
          </cell>
        </row>
        <row r="1599">
          <cell r="A1599" t="str">
            <v>73861/8</v>
          </cell>
          <cell r="B1599" t="str">
            <v>CONDULETE 3/4" EM LIGA DE ALUMÍNIO FUNDIDO TIPO "E" - FORNECIMENTO E INSTALACAO</v>
          </cell>
          <cell r="C1599" t="str">
            <v>UN</v>
          </cell>
          <cell r="D1599">
            <v>8.19</v>
          </cell>
        </row>
        <row r="1600">
          <cell r="A1600" t="str">
            <v>73861/9</v>
          </cell>
          <cell r="B1600" t="str">
            <v>CONDULETE 1" EM LIGA DE ALUMÍNIO FUNDIDO TIPO "E" - FORNECIMENTO E INSTALACAO</v>
          </cell>
          <cell r="C1600" t="str">
            <v>UN</v>
          </cell>
          <cell r="D1600">
            <v>12.06</v>
          </cell>
        </row>
        <row r="1601">
          <cell r="A1601" t="str">
            <v>73861/10</v>
          </cell>
          <cell r="B1601" t="str">
            <v>CONDULETE 1/2" EM LIGA DE ALUMÍNIO FUNDIDO TIPO "LB" - FORNECIMENTO E INSTALACAO</v>
          </cell>
          <cell r="C1601" t="str">
            <v>UN</v>
          </cell>
          <cell r="D1601">
            <v>7.83</v>
          </cell>
        </row>
        <row r="1602">
          <cell r="A1602" t="str">
            <v>73861/11</v>
          </cell>
          <cell r="B1602" t="str">
            <v>CONDULETE 3/4" EM LIGA DE ALUMÍNIO FUNDIDO TIPO "LB" - FORNECIMENTO E INSTALACAO</v>
          </cell>
          <cell r="C1602" t="str">
            <v>UN</v>
          </cell>
          <cell r="D1602">
            <v>9.02</v>
          </cell>
        </row>
        <row r="1603">
          <cell r="A1603" t="str">
            <v>73861/12</v>
          </cell>
          <cell r="B1603" t="str">
            <v>CONDULETE 1" EM LIGA DE ALUMÍNIO FUNDIDO TIPO "LB" - FORNECIMENTO E INSTALACAO</v>
          </cell>
          <cell r="C1603" t="str">
            <v>UN</v>
          </cell>
          <cell r="D1603">
            <v>12.82</v>
          </cell>
        </row>
        <row r="1604">
          <cell r="A1604" t="str">
            <v>73861/13</v>
          </cell>
          <cell r="B1604" t="str">
            <v>CONDULETE 1/2" EM LIGA DE ALUMÍNIO FUNDIDO TIPO "LL" - FORNECIMENTO E INSTALACAO</v>
          </cell>
          <cell r="C1604" t="str">
            <v>UN</v>
          </cell>
          <cell r="D1604">
            <v>7.83</v>
          </cell>
        </row>
        <row r="1605">
          <cell r="A1605" t="str">
            <v>73861/14</v>
          </cell>
          <cell r="B1605" t="str">
            <v>CONDULETE 3/4" EM LIGA DE ALUMÍNIO FUNDIDO TIPO "LL" - FORNECIMENTO E INSTALACAO</v>
          </cell>
          <cell r="C1605" t="str">
            <v>UN</v>
          </cell>
          <cell r="D1605">
            <v>9.02</v>
          </cell>
        </row>
        <row r="1606">
          <cell r="A1606" t="str">
            <v>73861/15</v>
          </cell>
          <cell r="B1606" t="str">
            <v>CONDULETE 1" EM LIGA DE ALUMÍNIO FUNDIDO TIPO "LL" - FORNECIMENTO E INSTALACAO</v>
          </cell>
          <cell r="C1606" t="str">
            <v>UN</v>
          </cell>
          <cell r="D1606">
            <v>12.82</v>
          </cell>
        </row>
        <row r="1607">
          <cell r="A1607" t="str">
            <v>73861/16</v>
          </cell>
          <cell r="B1607" t="str">
            <v>CONDULETE 1/2" EM LIGA DE ALUMÍNIO FUNDIDO TIPO "X" - FORNECIMENTO E INSTALACAO</v>
          </cell>
          <cell r="C1607" t="str">
            <v>UN</v>
          </cell>
          <cell r="D1607">
            <v>9.23</v>
          </cell>
        </row>
        <row r="1608">
          <cell r="A1608" t="str">
            <v>73861/17</v>
          </cell>
          <cell r="B1608" t="str">
            <v>CONDULETE 3/4" EM LIGA DE ALUMÍNIO FUNDIDO TIPO "X" - FORNECIMENTO E INSTALACAO</v>
          </cell>
          <cell r="C1608" t="str">
            <v>UN</v>
          </cell>
          <cell r="D1608">
            <v>10.61</v>
          </cell>
        </row>
        <row r="1609">
          <cell r="A1609" t="str">
            <v>73861/18</v>
          </cell>
          <cell r="B1609" t="str">
            <v>CONDULETE 1" EM LIGA DE ALUMÍNIO FUNDIDO TIPO "X" - FORNECIMENTO E INSTALACAO</v>
          </cell>
          <cell r="C1609" t="str">
            <v>UN</v>
          </cell>
          <cell r="D1609">
            <v>16.38</v>
          </cell>
        </row>
        <row r="1610">
          <cell r="A1610" t="str">
            <v>73861/19</v>
          </cell>
          <cell r="B1610" t="str">
            <v>CONDULETE 1/2" EM LIGA DE ALUMÍNIO FUNDIDO TIPO "T" - FORNECIMENTO E INSTALACAO</v>
          </cell>
          <cell r="C1610" t="str">
            <v>UN</v>
          </cell>
          <cell r="D1610">
            <v>8.9</v>
          </cell>
        </row>
        <row r="1611">
          <cell r="A1611" t="str">
            <v>73861/20</v>
          </cell>
          <cell r="B1611" t="str">
            <v>CONDULETE 3/4" EM LIGA DE ALUMÍNIO FUNDIDO TIPO "T" - FORNECIMENTO E INSTALACAO</v>
          </cell>
          <cell r="C1611" t="str">
            <v>UN</v>
          </cell>
          <cell r="D1611">
            <v>9.83</v>
          </cell>
        </row>
        <row r="1612">
          <cell r="A1612" t="str">
            <v>73861/21</v>
          </cell>
          <cell r="B1612" t="str">
            <v>CONDULETE 1" EM LIGA DE ALUMÍNIO FUNDIDO TIPO "T" - FORNECIMENTO E INSTALACAO</v>
          </cell>
          <cell r="C1612" t="str">
            <v>UN</v>
          </cell>
          <cell r="D1612">
            <v>14.88</v>
          </cell>
        </row>
        <row r="1613">
          <cell r="A1613" t="str">
            <v>74043/1</v>
          </cell>
          <cell r="B1613" t="str">
            <v>CONDULETE PVC TIPO  B  3/4  SEM TAMPA, FORNECIMENTO E INSTALACAO</v>
          </cell>
          <cell r="C1613" t="str">
            <v>UN</v>
          </cell>
          <cell r="D1613">
            <v>14.28</v>
          </cell>
        </row>
        <row r="1614">
          <cell r="A1614" t="str">
            <v>74043/2</v>
          </cell>
          <cell r="B1614" t="str">
            <v>CONDULETE PVC TIPO  LL  3/4  SEM TAMPA, FORNECIMENTO E INSTALACAO</v>
          </cell>
          <cell r="C1614" t="str">
            <v>UN</v>
          </cell>
          <cell r="D1614">
            <v>11.81</v>
          </cell>
        </row>
        <row r="1615">
          <cell r="A1615" t="str">
            <v>74043/3</v>
          </cell>
          <cell r="B1615" t="str">
            <v>CONDULETE PVC TIPO TB 3/4 SEM TAMPA, FORNECIMENTO E INSTALACAO</v>
          </cell>
          <cell r="C1615" t="str">
            <v>UN</v>
          </cell>
          <cell r="D1615">
            <v>19.3</v>
          </cell>
        </row>
        <row r="1616">
          <cell r="A1616">
            <v>83386</v>
          </cell>
          <cell r="B1616" t="str">
            <v>CAIXA DE PASSAGEM PVC 4X4" - FORNECIMENTO E INSTALACAO</v>
          </cell>
          <cell r="C1616" t="str">
            <v>UN</v>
          </cell>
          <cell r="D1616">
            <v>5.98</v>
          </cell>
        </row>
        <row r="1617">
          <cell r="A1617">
            <v>83387</v>
          </cell>
          <cell r="B1617" t="str">
            <v>CAIXA DE PASSAGEM PVC 4X2" - FORNECIMENTO E INSTALACAO</v>
          </cell>
          <cell r="C1617" t="str">
            <v>UN</v>
          </cell>
          <cell r="D1617">
            <v>4.9800000000000004</v>
          </cell>
        </row>
        <row r="1618">
          <cell r="A1618">
            <v>83388</v>
          </cell>
          <cell r="B1618" t="str">
            <v>CAIXA DE PASSAGEM PVC 3" OCTOGONAL</v>
          </cell>
          <cell r="C1618" t="str">
            <v>UN</v>
          </cell>
          <cell r="D1618">
            <v>7.9</v>
          </cell>
        </row>
        <row r="1619">
          <cell r="A1619">
            <v>83438</v>
          </cell>
          <cell r="B1619" t="str">
            <v>CAIXA METALICA OCTOGONAL 4X4" FUNDO MOVEL</v>
          </cell>
          <cell r="C1619" t="str">
            <v>UN</v>
          </cell>
          <cell r="D1619">
            <v>4.9400000000000004</v>
          </cell>
        </row>
        <row r="1620">
          <cell r="A1620">
            <v>83439</v>
          </cell>
          <cell r="B1620" t="str">
            <v>CAIXA METALICA SEXTAVADA (HEXAGONAL) 3X3"</v>
          </cell>
          <cell r="C1620" t="str">
            <v>UN</v>
          </cell>
          <cell r="D1620">
            <v>4.66</v>
          </cell>
        </row>
        <row r="1621">
          <cell r="A1621">
            <v>83440</v>
          </cell>
          <cell r="B1621" t="str">
            <v>CAIXA DE PASSAGEM 4X2" EM FERRO GALVANIZADO</v>
          </cell>
          <cell r="C1621" t="str">
            <v>UN</v>
          </cell>
          <cell r="D1621">
            <v>4.1100000000000003</v>
          </cell>
        </row>
        <row r="1622">
          <cell r="A1622">
            <v>83442</v>
          </cell>
          <cell r="B1622" t="str">
            <v>CAIXA DE PASSAGEM 4X4" EM FERRO GALVANIZADO</v>
          </cell>
          <cell r="C1622" t="str">
            <v>UN</v>
          </cell>
          <cell r="D1622">
            <v>4.66</v>
          </cell>
        </row>
        <row r="1623">
          <cell r="A1623">
            <v>83443</v>
          </cell>
          <cell r="B1623" t="str">
            <v>CAIXA DE PASSAGEM 20X20X25 FUNDO BRITA COM TAMPA</v>
          </cell>
          <cell r="C1623" t="str">
            <v>UN</v>
          </cell>
          <cell r="D1623">
            <v>33.549999999999997</v>
          </cell>
        </row>
        <row r="1624">
          <cell r="A1624">
            <v>83446</v>
          </cell>
          <cell r="B1624" t="str">
            <v>CAIXA DE PASSAGEM 30X30X40 COM TAMPA E DRENO BRITA</v>
          </cell>
          <cell r="C1624" t="str">
            <v>UN</v>
          </cell>
          <cell r="D1624">
            <v>105.26</v>
          </cell>
        </row>
        <row r="1625">
          <cell r="A1625">
            <v>83447</v>
          </cell>
          <cell r="B1625" t="str">
            <v>CAIXA DE PASSAGEM 40X40X50 FUNDO BRITA COM TAMPA</v>
          </cell>
          <cell r="C1625" t="str">
            <v>UN</v>
          </cell>
          <cell r="D1625">
            <v>115.84</v>
          </cell>
        </row>
        <row r="1626">
          <cell r="A1626">
            <v>83448</v>
          </cell>
          <cell r="B1626" t="str">
            <v>CAIXA DE PASSGEM 50X50X60 FUNDO BRITA C/ TAMPA</v>
          </cell>
          <cell r="C1626" t="str">
            <v>UN</v>
          </cell>
          <cell r="D1626">
            <v>175.35</v>
          </cell>
        </row>
        <row r="1627">
          <cell r="A1627">
            <v>83449</v>
          </cell>
          <cell r="B1627" t="str">
            <v>CAIXA DE PASSAGEM 60X60X70 FUNDO BRITA COM TAMPA</v>
          </cell>
          <cell r="C1627" t="str">
            <v>UN</v>
          </cell>
          <cell r="D1627">
            <v>248.36</v>
          </cell>
        </row>
        <row r="1628">
          <cell r="A1628">
            <v>83450</v>
          </cell>
          <cell r="B1628" t="str">
            <v>CAIXA DE PASSAGEM 80X80X62 FUNDO BRITA COM TAMPA</v>
          </cell>
          <cell r="C1628" t="str">
            <v>UN</v>
          </cell>
          <cell r="D1628">
            <v>295.85000000000002</v>
          </cell>
        </row>
        <row r="1629">
          <cell r="A1629">
            <v>83451</v>
          </cell>
          <cell r="B1629" t="str">
            <v>CONDULETE EM LIGA DE ALUMINIO TIPO "LR" 3/4" - FORNECIMENTO E INSTALACAO</v>
          </cell>
          <cell r="C1629" t="str">
            <v>UN</v>
          </cell>
          <cell r="D1629">
            <v>11.49</v>
          </cell>
        </row>
        <row r="1630">
          <cell r="A1630">
            <v>83452</v>
          </cell>
          <cell r="B1630" t="str">
            <v>CONDULETE EM LIGA DE ALUMINIO TIPO "LR" 1" - FORNECIMENTO E INSTALACAO</v>
          </cell>
          <cell r="C1630" t="str">
            <v>UN</v>
          </cell>
          <cell r="D1630">
            <v>14.21</v>
          </cell>
        </row>
        <row r="1631">
          <cell r="A1631">
            <v>83455</v>
          </cell>
          <cell r="B1631" t="str">
            <v>CONDULETE PVC TIPO "B" 1/2" SEM TAMPA - FORNECIMENTO E INSTALACAO</v>
          </cell>
          <cell r="C1631" t="str">
            <v>UN</v>
          </cell>
          <cell r="D1631">
            <v>14.34</v>
          </cell>
        </row>
        <row r="1632">
          <cell r="A1632">
            <v>83456</v>
          </cell>
          <cell r="B1632" t="str">
            <v>CONDULETE PVC TIPO "LB" 1/2" SEM TAMPA - FORNECIMENTO E INSTALACAO</v>
          </cell>
          <cell r="C1632" t="str">
            <v>UN</v>
          </cell>
          <cell r="D1632">
            <v>11.71</v>
          </cell>
        </row>
        <row r="1633">
          <cell r="A1633">
            <v>83457</v>
          </cell>
          <cell r="B1633" t="str">
            <v>CONDULETE PVC TIPO "LB" 3/4" SEM TAMPA - FORNECIMENTO E INSTALACAO</v>
          </cell>
          <cell r="C1633" t="str">
            <v>UN</v>
          </cell>
          <cell r="D1633">
            <v>11.78</v>
          </cell>
        </row>
        <row r="1634">
          <cell r="A1634">
            <v>83458</v>
          </cell>
          <cell r="B1634" t="str">
            <v>CONDULETE PVC TIPO "LL" 1/2" SEM TAMPA - FORNECIMENTO E INSTALACAO</v>
          </cell>
          <cell r="C1634" t="str">
            <v>UN</v>
          </cell>
          <cell r="D1634">
            <v>11.98</v>
          </cell>
        </row>
        <row r="1635">
          <cell r="A1635">
            <v>83460</v>
          </cell>
          <cell r="B1635" t="str">
            <v>CONDULETE PVC TIPO "TA" 3/4" SEM TAMPA - FORNECIMENTO E INSTALACAO</v>
          </cell>
          <cell r="C1635" t="str">
            <v>UN</v>
          </cell>
          <cell r="D1635">
            <v>21.6</v>
          </cell>
        </row>
        <row r="1636">
          <cell r="A1636">
            <v>83461</v>
          </cell>
          <cell r="B1636" t="str">
            <v>CONDULETE PVC TIPO "TB" 1/2" SEM TAMPA - FORNECIMENTO E INSTALACAO</v>
          </cell>
          <cell r="C1636" t="str">
            <v>UN</v>
          </cell>
          <cell r="D1636">
            <v>19.14</v>
          </cell>
        </row>
        <row r="1637">
          <cell r="A1637">
            <v>83462</v>
          </cell>
          <cell r="B1637" t="str">
            <v>CONDULETE PVC TIPO "XA" 3/4" SEM TAMPA - FORNECIMENTO E INSTALACAO</v>
          </cell>
          <cell r="C1637" t="str">
            <v>UN</v>
          </cell>
          <cell r="D1637">
            <v>19.600000000000001</v>
          </cell>
        </row>
        <row r="1638">
          <cell r="A1638">
            <v>83471</v>
          </cell>
          <cell r="B1638" t="str">
            <v>CONDULETE EM ALUMINIO FUNDIDO 2" TIPO "E" - FORNECIMENTO E INSTALACAO</v>
          </cell>
          <cell r="C1638" t="str">
            <v>UN</v>
          </cell>
          <cell r="D1638">
            <v>31.16</v>
          </cell>
        </row>
        <row r="1639">
          <cell r="A1639">
            <v>83472</v>
          </cell>
          <cell r="B1639" t="str">
            <v>CONDULETE EM ALUMINIO FUNDIDO 3" TIPO "E" - FORNECIMENTO E INSTALACAO</v>
          </cell>
          <cell r="C1639" t="str">
            <v>UN</v>
          </cell>
          <cell r="D1639">
            <v>60.02</v>
          </cell>
        </row>
        <row r="1640">
          <cell r="A1640">
            <v>68066</v>
          </cell>
          <cell r="B1640" t="str">
            <v>CAIXA DE PROTECAO PARA MEDIDOR MONOFASICO, FORNECIMENTO E INSTALACAO</v>
          </cell>
          <cell r="C1640" t="str">
            <v>UN</v>
          </cell>
          <cell r="D1640">
            <v>78.34</v>
          </cell>
        </row>
        <row r="1641">
          <cell r="A1641">
            <v>72319</v>
          </cell>
          <cell r="B1641" t="str">
            <v>DISJUNTOR BAIXA TENSAO TRIPOLAR A SECO  800A/600V, INCLUSIVE ELETROTÉCNICO</v>
          </cell>
          <cell r="C1641" t="str">
            <v>UN</v>
          </cell>
          <cell r="D1641">
            <v>2983.08</v>
          </cell>
        </row>
        <row r="1642">
          <cell r="A1642">
            <v>72341</v>
          </cell>
          <cell r="B1642" t="str">
            <v>CONTATOR TRIPOLAR I NOMINAL 12A - FORNECIMENTO E INSTALACAO INCLUSIVE ELETROTÉCNICO</v>
          </cell>
          <cell r="C1642" t="str">
            <v>UN</v>
          </cell>
          <cell r="D1642">
            <v>184.11</v>
          </cell>
        </row>
        <row r="1643">
          <cell r="A1643">
            <v>72343</v>
          </cell>
          <cell r="B1643" t="str">
            <v>CONTATOR TRIPOLAR I NOMINAL 22A - FORNECIMENTO E INSTALACAO INCLUSIVE ELETROTÉCNICO</v>
          </cell>
          <cell r="C1643" t="str">
            <v>UN</v>
          </cell>
          <cell r="D1643">
            <v>233.28</v>
          </cell>
        </row>
        <row r="1644">
          <cell r="A1644">
            <v>72344</v>
          </cell>
          <cell r="B1644" t="str">
            <v>CONTATOR TRIPOLAR I NOMINAL 36A - FORNECIMENTO E INSTALACAO INCLUSIVE ELETROTÉCNICO</v>
          </cell>
          <cell r="C1644" t="str">
            <v>UN</v>
          </cell>
          <cell r="D1644">
            <v>446.33</v>
          </cell>
        </row>
        <row r="1645">
          <cell r="A1645">
            <v>72345</v>
          </cell>
          <cell r="B1645" t="str">
            <v>CONTATOR TRIPOLAR I NOMIMAL 94A - FORNECIMENTO E INSTALACAO INCLUSIVE ELETROTÉCNICO</v>
          </cell>
          <cell r="C1645" t="str">
            <v>UN</v>
          </cell>
          <cell r="D1645">
            <v>1227.8499999999999</v>
          </cell>
        </row>
        <row r="1646">
          <cell r="A1646" t="str">
            <v>74052/5</v>
          </cell>
          <cell r="B1646" t="str">
            <v>QUADRO DE MEDICAO GERAL EM CHAPA METALICA PARA EDIFICIOS COM 16 APTOS, INCLUSIVE DISJUNTORES E ATERRAMENTO</v>
          </cell>
          <cell r="C1646" t="str">
            <v>UN</v>
          </cell>
          <cell r="D1646">
            <v>826.18</v>
          </cell>
        </row>
        <row r="1647">
          <cell r="A1647" t="str">
            <v>74130/1</v>
          </cell>
          <cell r="B1647" t="str">
            <v>DISJUNTOR TERMOMAGNETICO MONOPOLAR PADRAO NEMA (AMERICANO) 10 A 30A 240V, FORNECIMENTO E INSTALACAO</v>
          </cell>
          <cell r="C1647" t="str">
            <v>UN</v>
          </cell>
          <cell r="D1647">
            <v>8.73</v>
          </cell>
        </row>
        <row r="1648">
          <cell r="A1648" t="str">
            <v>74130/2</v>
          </cell>
          <cell r="B1648" t="str">
            <v>DISJUNTOR TERMOMAGNETICO MONOPOLAR PADRAO NEMA (AMERICANO) 35 A 50A 240V, FORNECIMENTO E INSTALACAO</v>
          </cell>
          <cell r="C1648" t="str">
            <v>UN</v>
          </cell>
          <cell r="D1648">
            <v>13.58</v>
          </cell>
        </row>
        <row r="1649">
          <cell r="A1649" t="str">
            <v>74130/3</v>
          </cell>
          <cell r="B1649" t="str">
            <v>DISJUNTOR TERMOMAGNETICO BIPOLAR PADRAO NEMA (AMERICANO) 10 A 50A 240V, FORNECIMENTO E INSTALACAO</v>
          </cell>
          <cell r="C1649" t="str">
            <v>UN</v>
          </cell>
          <cell r="D1649">
            <v>40.42</v>
          </cell>
        </row>
        <row r="1650">
          <cell r="A1650" t="str">
            <v>74130/4</v>
          </cell>
          <cell r="B1650" t="str">
            <v>DISJUNTOR TERMOMAGNETICO TRIPOLAR PADRAO NEMA (AMERICANO) 10 A 50A 240V, FORNECIMENTO E INSTALACAO</v>
          </cell>
          <cell r="C1650" t="str">
            <v>UN</v>
          </cell>
          <cell r="D1650">
            <v>56.8</v>
          </cell>
        </row>
        <row r="1651">
          <cell r="A1651" t="str">
            <v>74130/5</v>
          </cell>
          <cell r="B1651" t="str">
            <v>DISJUNTOR TERMOMAGNETICO TRIPOLAR PADRAO NEMA (AMERICANO) 60 A 100A 240V, FORNECIMENTO E INSTALACAO</v>
          </cell>
          <cell r="C1651" t="str">
            <v>UN</v>
          </cell>
          <cell r="D1651">
            <v>76.459999999999994</v>
          </cell>
        </row>
        <row r="1652">
          <cell r="A1652" t="str">
            <v>74130/6</v>
          </cell>
          <cell r="B1652" t="str">
            <v>DISJUNTOR TERMOMAGNETICO TRIPOLAR PADRAO NEMA (AMERICANO) 125 A 150A 240V, FORNECIMENTO E INSTALACAO</v>
          </cell>
          <cell r="C1652" t="str">
            <v>UN</v>
          </cell>
          <cell r="D1652">
            <v>220.52</v>
          </cell>
        </row>
        <row r="1653">
          <cell r="A1653" t="str">
            <v>74130/7</v>
          </cell>
          <cell r="B1653" t="str">
            <v>DISJUNTOR TERMOMAGNETICO TRIPOLAR EM CAIXA MOLDADA 250A 600V, FORNECIMENTO E INSTALACAO</v>
          </cell>
          <cell r="C1653" t="str">
            <v>UN</v>
          </cell>
          <cell r="D1653">
            <v>573.38</v>
          </cell>
        </row>
        <row r="1654">
          <cell r="A1654" t="str">
            <v>74130/8</v>
          </cell>
          <cell r="B1654" t="str">
            <v>DISJUNTOR TERMOMAGNETICO TRIPOLAR EM CAIXA MOLDADA 300 A 400A 600V, FORNECIMENTO E INSTALACAO</v>
          </cell>
          <cell r="C1654" t="str">
            <v>UN</v>
          </cell>
          <cell r="D1654">
            <v>784.34</v>
          </cell>
        </row>
        <row r="1655">
          <cell r="A1655" t="str">
            <v>74130/9</v>
          </cell>
          <cell r="B1655" t="str">
            <v>DISJUNTOR TERMOMAGNETICO TRIPOLAR EM CAIXA MOLDADA 500 A 600A 600V, FORNECIMENTO E INSTALACAO</v>
          </cell>
          <cell r="C1655" t="str">
            <v>UN</v>
          </cell>
          <cell r="D1655">
            <v>1286.1600000000001</v>
          </cell>
        </row>
        <row r="1656">
          <cell r="A1656" t="str">
            <v>74130/10</v>
          </cell>
          <cell r="B1656" t="str">
            <v>DISJUNTOR TERMOMAGNETICO TRIPOLAR EM CAIXA MOLDADA 175 A 225A 240V, FORNECIMENTO E INSTALACAO</v>
          </cell>
          <cell r="C1656" t="str">
            <v>UN</v>
          </cell>
          <cell r="D1656">
            <v>345.91</v>
          </cell>
        </row>
        <row r="1657">
          <cell r="A1657" t="str">
            <v>74131/1</v>
          </cell>
          <cell r="B1657" t="str">
            <v>QUADRO DE DISTRIBUICAO DE ENERGIA DE EMBUTIR, EM CHAPA METALICA, PARA 3 DISJUNTORES TERMOMAGNETICOS MONOPOLARES SEM BARRAMENTO FORNECIMENTO E INSTALACAO</v>
          </cell>
          <cell r="C1657" t="str">
            <v>UN</v>
          </cell>
          <cell r="D1657">
            <v>33.85</v>
          </cell>
        </row>
        <row r="1658">
          <cell r="A1658" t="str">
            <v>74131/4</v>
          </cell>
          <cell r="B1658" t="str">
            <v>QUADRO DE DISTRIBUICAO DE ENERGIA DE EMBUTIR, EM CHAPA METALICA, PARA 18 DISJUNTORES TERMOMAGNETICOS MONOPOLARES, COM BARRAMENTO TRIFASICO E NEUTRO, FORNECIMENTO E INSTALACAO</v>
          </cell>
          <cell r="C1658" t="str">
            <v>UN</v>
          </cell>
          <cell r="D1658">
            <v>246.7</v>
          </cell>
        </row>
        <row r="1659">
          <cell r="A1659" t="str">
            <v>74131/5</v>
          </cell>
          <cell r="B1659" t="str">
            <v>QUADRO DE DISTRIBUICAO DE ENERGIA DE EMBUTIR, EM CHAPA METALICA, PARA 24 DISJUNTORES TERMOMAGNETICOS MONOPOLARES, COM BARRAMENTO TRIFASICO E NEUTRO, FORNECIMENTO E INSTALACAO</v>
          </cell>
          <cell r="C1659" t="str">
            <v>UN</v>
          </cell>
          <cell r="D1659">
            <v>273.07</v>
          </cell>
        </row>
        <row r="1660">
          <cell r="A1660" t="str">
            <v>74131/6</v>
          </cell>
          <cell r="B1660" t="str">
            <v>QUADRO DE DISTRIBUICAO DE ENERGIA DE EMBUTIR, EM CHAPA METALICA, PARA 32 DISJUNTORES TERMOMAGNETICOS MONOPOLARES, COM BARRAMENTO TRIFASICO E NEUTRO, FORNECIMENTO E INSTALACAO</v>
          </cell>
          <cell r="C1660" t="str">
            <v>UN</v>
          </cell>
          <cell r="D1660">
            <v>401.42</v>
          </cell>
        </row>
        <row r="1661">
          <cell r="A1661" t="str">
            <v>74131/7</v>
          </cell>
          <cell r="B1661" t="str">
            <v>QUADRO DE DISTRIBUICAO DE ENERGIA DE EMBUTIR, EM CHAPA METALICA, PARA 40 DISJUNTORES TERMOMAGNETICOS MONOPOLARES, COM BARRAMENTO TRIFASICO E NEUTRO, FORNECIMENTO E INSTALACAO</v>
          </cell>
          <cell r="C1661" t="str">
            <v>UN</v>
          </cell>
          <cell r="D1661">
            <v>433.27</v>
          </cell>
        </row>
        <row r="1662">
          <cell r="A1662" t="str">
            <v>74131/8</v>
          </cell>
          <cell r="B1662" t="str">
            <v>QUADRO DE DISTRIBUICAO DE ENERGIA DE EMBUTIR, EM CHAPA METALICA, PARA 50 DISJUNTORES TERMOMAGNETICOS MONOPOLARES, COM BARRAMENTO TRIFASICO E NEUTRO, FORNECIMENTO E INSTALACAO</v>
          </cell>
          <cell r="C1662" t="str">
            <v>UN</v>
          </cell>
          <cell r="D1662">
            <v>642.26</v>
          </cell>
        </row>
        <row r="1663">
          <cell r="A1663">
            <v>83372</v>
          </cell>
          <cell r="B1663" t="str">
            <v>CAIXA DE MEDICAO EM ALTA TENSAO - FORNECIMENTO E INSTALACAO</v>
          </cell>
          <cell r="C1663" t="str">
            <v>UN</v>
          </cell>
          <cell r="D1663">
            <v>457.89</v>
          </cell>
        </row>
        <row r="1664">
          <cell r="A1664">
            <v>83373</v>
          </cell>
          <cell r="B1664" t="str">
            <v>DISJUNTOR TRIFASICO 630A/15KV PEQUENO VOLUME DE OLEO (PVO) PARA INSTALACAO ABRIGADA, COM RELE PRIMARIO, POT. NOMINAL CURTO-CIRCUITO = 350MVA - FORNECIMENTO E INSTALACAO.</v>
          </cell>
          <cell r="C1664" t="str">
            <v>UN</v>
          </cell>
          <cell r="D1664">
            <v>11887.05</v>
          </cell>
        </row>
        <row r="1665">
          <cell r="A1665">
            <v>83463</v>
          </cell>
          <cell r="B1665" t="str">
            <v>QUADRO DE DISTRIBUICAO DE ENERGIA EM CHAPA DE ACO GALVANIZADO, PARA 12 DISJUNTORES TERMOMAGNETICOS MONOPOLARES, COM BARRAMENTO TRIFASICO E NEUTRO - FORNECIMENTO E INSTALACAO</v>
          </cell>
          <cell r="C1665" t="str">
            <v>UN</v>
          </cell>
          <cell r="D1665">
            <v>168.19</v>
          </cell>
        </row>
        <row r="1666">
          <cell r="A1666">
            <v>84402</v>
          </cell>
          <cell r="B1666" t="str">
            <v>QUADRO DE DISTRIBUICAO DE ENERGIA P/ 6 DISJUNTORES TERMOMAGNETICOS MONOPOLARES SEM BARRAMENTO, DE EMBUTIR, EM CHAPA METALICA - FORNECIMENTO E INSTALACAO</v>
          </cell>
          <cell r="C1666" t="str">
            <v>UN</v>
          </cell>
          <cell r="D1666">
            <v>40.049999999999997</v>
          </cell>
        </row>
        <row r="1667">
          <cell r="A1667">
            <v>72331</v>
          </cell>
          <cell r="B1667" t="str">
            <v>INTERRUPTOR SIMPLES DE EMBUTIR 10A/250V 1 TECLA, SEM PLACA - FORNECIMENTO E INSTALACAO</v>
          </cell>
          <cell r="C1667" t="str">
            <v>UN</v>
          </cell>
          <cell r="D1667">
            <v>8.7200000000000006</v>
          </cell>
        </row>
        <row r="1668">
          <cell r="A1668">
            <v>72332</v>
          </cell>
          <cell r="B1668" t="str">
            <v>INTERRUPTOR SIMPLES DE EMBUTIR 10A/250V 2 TECLAS, COM PLACA - FORNECIMENTO E INSTALACAO</v>
          </cell>
          <cell r="C1668" t="str">
            <v>UN</v>
          </cell>
          <cell r="D1668">
            <v>17.239999999999998</v>
          </cell>
        </row>
        <row r="1669">
          <cell r="A1669">
            <v>72333</v>
          </cell>
          <cell r="B1669" t="str">
            <v>INTERRUPTOR BIPOLAR DE EMBUTIR 20A/250V, TECLA DUPLA C/ PLACA- FORNECIMENTO E INSTALACAO</v>
          </cell>
          <cell r="C1669" t="str">
            <v>UN</v>
          </cell>
          <cell r="D1669">
            <v>29.27</v>
          </cell>
        </row>
        <row r="1670">
          <cell r="A1670">
            <v>72334</v>
          </cell>
          <cell r="B1670" t="str">
            <v>INTERRUPTOR PARALELO DE EMBUTIR 10A/250V 1 TECLA, SEM PLACA - FORNECIMENTO E INSTALACAO</v>
          </cell>
          <cell r="C1670" t="str">
            <v>UN</v>
          </cell>
          <cell r="D1670">
            <v>10.67</v>
          </cell>
        </row>
        <row r="1671">
          <cell r="A1671">
            <v>72335</v>
          </cell>
          <cell r="B1671" t="str">
            <v>ESPELHO PLASTICO 4X2" - FORNECIMENTO E INSTALACAO</v>
          </cell>
          <cell r="C1671" t="str">
            <v>UN</v>
          </cell>
          <cell r="D1671">
            <v>2.87</v>
          </cell>
        </row>
        <row r="1672">
          <cell r="A1672">
            <v>72336</v>
          </cell>
          <cell r="B1672" t="str">
            <v>ESPELHO PLASTICO 4X4" - FORNECIMENTO E INSTALACAO</v>
          </cell>
          <cell r="C1672" t="str">
            <v>UN</v>
          </cell>
          <cell r="D1672">
            <v>5.19</v>
          </cell>
        </row>
        <row r="1673">
          <cell r="A1673">
            <v>72339</v>
          </cell>
          <cell r="B1673" t="str">
            <v>TOMADA 3P+T 30A/440V SEM PLACA - FORNECIMENTO E INSTALACAO</v>
          </cell>
          <cell r="C1673" t="str">
            <v>UN</v>
          </cell>
          <cell r="D1673">
            <v>29.3</v>
          </cell>
        </row>
        <row r="1674">
          <cell r="A1674">
            <v>83403</v>
          </cell>
          <cell r="B1674" t="str">
            <v>INTERRUPTOR PULSADOR DE CAMPAINHA OU MINUTERIA 2A/250V C/ CAIXA - FORNECIMENTO E INSTALACAO</v>
          </cell>
          <cell r="C1674" t="str">
            <v>UN</v>
          </cell>
          <cell r="D1674">
            <v>12.39</v>
          </cell>
        </row>
        <row r="1675">
          <cell r="A1675">
            <v>83465</v>
          </cell>
          <cell r="B1675" t="str">
            <v>INTERRUPTOR INTERMEDIARIO (FOUR-WAY) - FORNECIMENTO E INSTALACAO</v>
          </cell>
          <cell r="C1675" t="str">
            <v>UN</v>
          </cell>
          <cell r="D1675">
            <v>31.69</v>
          </cell>
        </row>
        <row r="1676">
          <cell r="A1676">
            <v>83466</v>
          </cell>
          <cell r="B1676" t="str">
            <v>INTERRUPTOR SIMPLES COM 1 TOMADA UNIVERSAL CONJUGADOS COM PLACA - FORNECIMENTO E INSTALACAO</v>
          </cell>
          <cell r="C1676" t="str">
            <v>UN</v>
          </cell>
          <cell r="D1676">
            <v>19.739999999999998</v>
          </cell>
        </row>
        <row r="1677">
          <cell r="A1677">
            <v>83467</v>
          </cell>
          <cell r="B1677" t="str">
            <v>INTERRUPTOR SIMPLES DE EMBUTIR 10A/250V 3 TECLAS, COM PLACA - FORNECIMENTO E INSTALACAO</v>
          </cell>
          <cell r="C1677" t="str">
            <v>UN</v>
          </cell>
          <cell r="D1677">
            <v>26.09</v>
          </cell>
        </row>
        <row r="1678">
          <cell r="A1678">
            <v>83540</v>
          </cell>
          <cell r="B1678" t="str">
            <v>TOMADA DE EMBUTIR 2P+T 10A/250V C/ PLACA - FORNECIMENTO E INSTALACAO</v>
          </cell>
          <cell r="C1678" t="str">
            <v>UN</v>
          </cell>
          <cell r="D1678">
            <v>10.87</v>
          </cell>
        </row>
        <row r="1679">
          <cell r="A1679">
            <v>83555</v>
          </cell>
          <cell r="B1679" t="str">
            <v>TOMADA DUPLA DE EMBUTIR 2X2P+T 10A/250V C/ PLACA - FORNECIMENTO E INSTALACAO</v>
          </cell>
          <cell r="C1679" t="str">
            <v>UN</v>
          </cell>
          <cell r="D1679">
            <v>19.190000000000001</v>
          </cell>
        </row>
        <row r="1680">
          <cell r="A1680">
            <v>83566</v>
          </cell>
          <cell r="B1680" t="str">
            <v>TOMADA DE EMBUTIR 2P+T 20A/250V C/ PLACA - FORNECIMENTO E INSTALACAO</v>
          </cell>
          <cell r="C1680" t="str">
            <v>UN</v>
          </cell>
          <cell r="D1680">
            <v>19.57</v>
          </cell>
        </row>
        <row r="1681">
          <cell r="A1681">
            <v>84226</v>
          </cell>
          <cell r="B1681" t="str">
            <v>INTERRUPTOR PARALELO COM 1 TOMADA UNIVERSAL CONJUGADOS S/ PLACA - FORNECIMENTO E INSTALACAO</v>
          </cell>
          <cell r="C1681" t="str">
            <v>UN</v>
          </cell>
          <cell r="D1681">
            <v>19.72</v>
          </cell>
        </row>
        <row r="1682">
          <cell r="A1682">
            <v>84227</v>
          </cell>
          <cell r="B1682" t="str">
            <v>INTERRUPTOR PARALELO 2 TECLAS COM 1 TOMADA 2P UNIVERSAL S/ PLACA - FORNECIMENTO E INSTALACAO</v>
          </cell>
          <cell r="C1682" t="str">
            <v>UN</v>
          </cell>
          <cell r="D1682">
            <v>29.08</v>
          </cell>
        </row>
        <row r="1683">
          <cell r="A1683">
            <v>84379</v>
          </cell>
          <cell r="B1683" t="str">
            <v>INTERRUPTOR SIMPLES COM INTERRUPTOR PARALELO CONJUNGADOS C/ PLACA - FORNECIMENTO E INSTALACAO</v>
          </cell>
          <cell r="C1683" t="str">
            <v>UN</v>
          </cell>
          <cell r="D1683">
            <v>21.86</v>
          </cell>
        </row>
        <row r="1684">
          <cell r="A1684">
            <v>84542</v>
          </cell>
          <cell r="B1684" t="str">
            <v>INTERRUPTOR PARALELO DE EMBUTIR 10A/250V 2 TECLAS - FORNECIMENTO E INSTALACAO</v>
          </cell>
          <cell r="C1684" t="str">
            <v>UN</v>
          </cell>
          <cell r="D1684">
            <v>26.2</v>
          </cell>
        </row>
        <row r="1685">
          <cell r="A1685">
            <v>85049</v>
          </cell>
          <cell r="B1685" t="str">
            <v>INTERRUPTOR SIMPLES 2 TECLAS COM TOMADA CONJUGADOS - FORNECIMENTO E INSTALACAO</v>
          </cell>
          <cell r="C1685" t="str">
            <v>UN</v>
          </cell>
          <cell r="D1685">
            <v>27.01</v>
          </cell>
        </row>
        <row r="1686">
          <cell r="A1686">
            <v>72248</v>
          </cell>
          <cell r="B1686" t="str">
            <v>LAMPADA INCANDESCENTE 40W - FORNECIMENTO E INSTALACAO</v>
          </cell>
          <cell r="C1686" t="str">
            <v>UN</v>
          </cell>
          <cell r="D1686">
            <v>1.75</v>
          </cell>
        </row>
        <row r="1687">
          <cell r="A1687">
            <v>72274</v>
          </cell>
          <cell r="B1687" t="str">
            <v>LAMPADA INCANDESCENTE 100W - FORNECIMENTO E INSTALACAO</v>
          </cell>
          <cell r="C1687" t="str">
            <v>UN</v>
          </cell>
          <cell r="D1687">
            <v>1.98</v>
          </cell>
        </row>
        <row r="1688">
          <cell r="A1688">
            <v>72275</v>
          </cell>
          <cell r="B1688" t="str">
            <v>LAMPADA INCANDESCENTE 150W - FORNECIMENTO E INSTALACAO</v>
          </cell>
          <cell r="C1688" t="str">
            <v>UN</v>
          </cell>
          <cell r="D1688">
            <v>2.46</v>
          </cell>
        </row>
        <row r="1689">
          <cell r="A1689">
            <v>72277</v>
          </cell>
          <cell r="B1689" t="str">
            <v>LAMPADA INCANDESCENTE 200W - FORNECIMENTO E INSTALACAO</v>
          </cell>
          <cell r="C1689" t="str">
            <v>UN</v>
          </cell>
          <cell r="D1689">
            <v>2.85</v>
          </cell>
        </row>
        <row r="1690">
          <cell r="A1690">
            <v>72278</v>
          </cell>
          <cell r="B1690" t="str">
            <v>LAMPADA VAPOR METALICO 400W - FORNECIMENTO E INSTALACAO</v>
          </cell>
          <cell r="C1690" t="str">
            <v>UN</v>
          </cell>
          <cell r="D1690">
            <v>87.34</v>
          </cell>
        </row>
        <row r="1691">
          <cell r="A1691">
            <v>72280</v>
          </cell>
          <cell r="B1691" t="str">
            <v>IGNITOR PARA PARTIDA LÂMPADA VAPOR SÓDIO ALTA PRESSÃO ATÉ 400W</v>
          </cell>
          <cell r="C1691" t="str">
            <v>UN</v>
          </cell>
          <cell r="D1691">
            <v>31.82</v>
          </cell>
        </row>
        <row r="1692">
          <cell r="A1692" t="str">
            <v>73738/1</v>
          </cell>
          <cell r="B1692" t="str">
            <v>STARTER DE 20W OU 40W FORNECIMENTO E COLOCACAO</v>
          </cell>
          <cell r="C1692" t="str">
            <v>UN</v>
          </cell>
          <cell r="D1692">
            <v>2.14</v>
          </cell>
        </row>
        <row r="1693">
          <cell r="A1693" t="str">
            <v>73953/1</v>
          </cell>
          <cell r="B1693" t="str">
            <v>LUMINARIA TIPO CALHA, DE SOBREPOR, COM REATOR DE PARTIDA RAPIDA E LAMPADA FLUORESCENTE 1X20W, COMPLETA,  FORNECIMENTO E INSTALACAO</v>
          </cell>
          <cell r="C1693" t="str">
            <v>UN</v>
          </cell>
          <cell r="D1693">
            <v>45.23</v>
          </cell>
        </row>
        <row r="1694">
          <cell r="A1694" t="str">
            <v>73953/2</v>
          </cell>
          <cell r="B1694" t="str">
            <v>LUMINARIA TIPO CALHA, DE SOBREPOR, COM REATOR DE PARTIDA RAPIDA E LAMPADA FLUORESCENTE 2X20W, COMPLETA, FORNECIMENTO E INSTALACAO</v>
          </cell>
          <cell r="C1694" t="str">
            <v>UN</v>
          </cell>
          <cell r="D1694">
            <v>66.849999999999994</v>
          </cell>
        </row>
        <row r="1695">
          <cell r="A1695" t="str">
            <v>73953/3</v>
          </cell>
          <cell r="B1695" t="str">
            <v>LUMINARIA TIPO CALHA, DE SOBREPOR, COM REATOR DE PARTIDA RAPIDA E LAMPADA FLUORESCENTE 3X20W, COMPLETA, FORNECIMENTO E INSTALACAO</v>
          </cell>
          <cell r="C1695" t="str">
            <v>UN</v>
          </cell>
          <cell r="D1695">
            <v>98.96</v>
          </cell>
        </row>
        <row r="1696">
          <cell r="A1696" t="str">
            <v>73953/4</v>
          </cell>
          <cell r="B1696" t="str">
            <v>LUMINARIA TIPO CALHA, DE SOBREPOR, COM REATOR DE PARTIDA RAPIDA E LAMPADA FLUORESCENTE 4X20W, COMPLETA, FORNECIMENTO E INSTALACAO</v>
          </cell>
          <cell r="C1696" t="str">
            <v>UN</v>
          </cell>
          <cell r="D1696">
            <v>106.81</v>
          </cell>
        </row>
        <row r="1697">
          <cell r="A1697" t="str">
            <v>73953/5</v>
          </cell>
          <cell r="B1697" t="str">
            <v>LUMINARIA TIPO CALHA, DE SOBREPOR, COM REATOR DE PARTIDA RAPIDA E LAMPADA FLUORESCENTE 1X40W, COMPLETA, FORNECIMENTO E INSTALACAO</v>
          </cell>
          <cell r="C1697" t="str">
            <v>UN</v>
          </cell>
          <cell r="D1697">
            <v>52.8</v>
          </cell>
        </row>
        <row r="1698">
          <cell r="A1698" t="str">
            <v>73953/6</v>
          </cell>
          <cell r="B1698" t="str">
            <v>LUMINARIA TIPO CALHA, DE SOBREPOR, COM REATOR DE PARTIDA RAPIDA E LAMPADA FLUORESCENTE 2X40W, COMPLETA, FORNECIMENTO E INSTALACAO</v>
          </cell>
          <cell r="C1698" t="str">
            <v>UN</v>
          </cell>
          <cell r="D1698">
            <v>72.64</v>
          </cell>
        </row>
        <row r="1699">
          <cell r="A1699" t="str">
            <v>73953/7</v>
          </cell>
          <cell r="B1699" t="str">
            <v>LUMINARIA TIPO CALHA, DE SOBREPOR, COM REATOR DE PARTIDA RAPIDA E LAMPADA FLUORESCENTE 3X40W, COMPLETA, FORNECIMENTO E INSTALACAO</v>
          </cell>
          <cell r="C1699" t="str">
            <v>UN</v>
          </cell>
          <cell r="D1699">
            <v>99.41</v>
          </cell>
        </row>
        <row r="1700">
          <cell r="A1700" t="str">
            <v>73953/8</v>
          </cell>
          <cell r="B1700" t="str">
            <v>LUMINARIA TIPO CALHA, DE SOBREPOR, COM REATOR DE PARTIDA RAPIDA E LAMPADA FLUORESCENTE 4X40W, COMPLETA, FORNECIMENTO E INSTALACAO</v>
          </cell>
          <cell r="C1700" t="str">
            <v>UN</v>
          </cell>
          <cell r="D1700">
            <v>123.34</v>
          </cell>
        </row>
        <row r="1701">
          <cell r="A1701" t="str">
            <v>73953/9</v>
          </cell>
          <cell r="B1701" t="str">
            <v>LUMINARIA SOBREPOR TP CALHA C/REATOR PART CONVENC LAMP 1X20W E STARTERFIX EM LAJE OU FORRO - FORNECIMENTO E COLOCACAO</v>
          </cell>
          <cell r="C1701" t="str">
            <v>UN</v>
          </cell>
          <cell r="D1701">
            <v>40.880000000000003</v>
          </cell>
        </row>
        <row r="1702">
          <cell r="A1702" t="str">
            <v>74041/1</v>
          </cell>
          <cell r="B1702" t="str">
            <v>LUMINARIA GLOBO VIDRO LEITOSO/PLAFONIER/BOCAL/LAMPADA 60W</v>
          </cell>
          <cell r="C1702" t="str">
            <v>UN</v>
          </cell>
          <cell r="D1702">
            <v>36.31</v>
          </cell>
        </row>
        <row r="1703">
          <cell r="A1703" t="str">
            <v>74041/2</v>
          </cell>
          <cell r="B1703" t="str">
            <v>LUMINARIA GLOBO VIDRO LEITOSO/PLAFONIER/BOCAL/LAMPADA 100W</v>
          </cell>
          <cell r="C1703" t="str">
            <v>UN</v>
          </cell>
          <cell r="D1703">
            <v>36.549999999999997</v>
          </cell>
        </row>
        <row r="1704">
          <cell r="A1704" t="str">
            <v>74082/1</v>
          </cell>
          <cell r="B1704" t="str">
            <v>REFLETOR REDONDO EM ALUMINIO COM SUPORTE E ALCA REGULAVEL PARA FIXACAO, COM LAMPADA VAPOR DE MERCURIO 250W</v>
          </cell>
          <cell r="C1704" t="str">
            <v>UN</v>
          </cell>
          <cell r="D1704">
            <v>154.71</v>
          </cell>
        </row>
        <row r="1705">
          <cell r="A1705" t="str">
            <v>74094/1</v>
          </cell>
          <cell r="B1705" t="str">
            <v>LUMINARIA TIPO SPOT PARA 1 LAMPADA INCANDESCENTE/FLUORESCENTE COMPACTA</v>
          </cell>
          <cell r="C1705" t="str">
            <v>UN</v>
          </cell>
          <cell r="D1705">
            <v>19.79</v>
          </cell>
        </row>
        <row r="1706">
          <cell r="A1706">
            <v>83389</v>
          </cell>
          <cell r="B1706" t="str">
            <v>REATOR PARA LAMPADA FLUORESCENTE 1X20W PARTIDA CONVENCIONAL FORNECIMENTO E INSTALACAO</v>
          </cell>
          <cell r="C1706" t="str">
            <v>UN</v>
          </cell>
          <cell r="D1706">
            <v>11.13</v>
          </cell>
        </row>
        <row r="1707">
          <cell r="A1707">
            <v>83390</v>
          </cell>
          <cell r="B1707" t="str">
            <v>REATOR PARA LAMPADA FLUORESCENTE 1X40W PARTIDA CONVENCIONAL FORNECIMENTO E INSTALACAO</v>
          </cell>
          <cell r="C1707" t="str">
            <v>UN</v>
          </cell>
          <cell r="D1707">
            <v>19.190000000000001</v>
          </cell>
        </row>
        <row r="1708">
          <cell r="A1708">
            <v>83391</v>
          </cell>
          <cell r="B1708" t="str">
            <v>REATOR PARA LAMPADA FLUORESCENTE 2X40W PARTIDA RAPIDA FORNECIMENTO E INSTALACAO</v>
          </cell>
          <cell r="C1708" t="str">
            <v>UN</v>
          </cell>
          <cell r="D1708">
            <v>29.67</v>
          </cell>
        </row>
        <row r="1709">
          <cell r="A1709">
            <v>83392</v>
          </cell>
          <cell r="B1709" t="str">
            <v>REATOR PARA LAMPADA FLUORESCENTE 1X20W PARTIDA RAPIDA FORNECIMENTO E INSTALACAO</v>
          </cell>
          <cell r="C1709" t="str">
            <v>UN</v>
          </cell>
          <cell r="D1709">
            <v>20.05</v>
          </cell>
        </row>
        <row r="1710">
          <cell r="A1710">
            <v>83393</v>
          </cell>
          <cell r="B1710" t="str">
            <v>REATOR PARA LAMPADA FLUORESCENTE 1X40W PARTIDA RAPIDA FORNECIMENTO E INSTALACAO</v>
          </cell>
          <cell r="C1710" t="str">
            <v>UN</v>
          </cell>
          <cell r="D1710">
            <v>21.57</v>
          </cell>
        </row>
        <row r="1711">
          <cell r="A1711">
            <v>83468</v>
          </cell>
          <cell r="B1711" t="str">
            <v>LAMPADA FLUORESCENTE 20W - FORNECIMENTO E INSTALACAO</v>
          </cell>
          <cell r="C1711" t="str">
            <v>UN</v>
          </cell>
          <cell r="D1711">
            <v>3.87</v>
          </cell>
        </row>
        <row r="1712">
          <cell r="A1712">
            <v>83469</v>
          </cell>
          <cell r="B1712" t="str">
            <v>LAMPADA FLUORESCENTE 40W - FORNECIMENTO E INSTALACAO</v>
          </cell>
          <cell r="C1712" t="str">
            <v>UN</v>
          </cell>
          <cell r="D1712">
            <v>3.87</v>
          </cell>
        </row>
        <row r="1713">
          <cell r="A1713">
            <v>83470</v>
          </cell>
          <cell r="B1713" t="str">
            <v>LAMPADA FLUORESCENTE TP HO 85W - FORNECIMENTO E INSTALACAO</v>
          </cell>
          <cell r="C1713" t="str">
            <v>UN</v>
          </cell>
          <cell r="D1713">
            <v>9</v>
          </cell>
        </row>
        <row r="1714">
          <cell r="A1714">
            <v>9540</v>
          </cell>
          <cell r="B1714" t="str">
            <v>ENTRADA DE ENERGIA ELÉTRICA AÉREA MONOFÁSICA 50A COM POSTE DE CONCRETO, INCLUSIVE CABEAMENTO, CAIXA DE PROTEÇÃO PARA MEDIDOR E ATERRAMENTO.</v>
          </cell>
          <cell r="C1714" t="str">
            <v>UN</v>
          </cell>
          <cell r="D1714">
            <v>735.7</v>
          </cell>
        </row>
        <row r="1715">
          <cell r="A1715">
            <v>72941</v>
          </cell>
          <cell r="B1715" t="str">
            <v>APARELHO SINALIZADOR DE SAIDA DE GARAGEM, COM CELULA FOTOELETRICA - FORNECIMENTO E INSTALACAO</v>
          </cell>
          <cell r="C1715" t="str">
            <v>UN</v>
          </cell>
          <cell r="D1715">
            <v>312.77999999999997</v>
          </cell>
        </row>
        <row r="1716">
          <cell r="A1716">
            <v>73624</v>
          </cell>
          <cell r="B1716" t="str">
            <v>SUPORTE PARA TRANSFORMADOR EM POSTE DE CONCRETO CIRCULAR</v>
          </cell>
          <cell r="C1716" t="str">
            <v>UN</v>
          </cell>
          <cell r="D1716">
            <v>85.12</v>
          </cell>
        </row>
        <row r="1717">
          <cell r="A1717" t="str">
            <v>73767/1</v>
          </cell>
          <cell r="B1717" t="str">
            <v>GRAMPO PARALELO EM ALUMINIO FUNDIDO OU ESTRUDADO DE 2 PARAFUSOS, PARA CABO DE 6 A 50 MM2, PASTA ANTIOXIDANTE. FORNEC E INSTALAÇÃO.</v>
          </cell>
          <cell r="C1717" t="str">
            <v>UN</v>
          </cell>
          <cell r="D1717">
            <v>5.23</v>
          </cell>
        </row>
        <row r="1718">
          <cell r="A1718" t="str">
            <v>73767/2</v>
          </cell>
          <cell r="B1718" t="str">
            <v>ALCA PRE-FORMADA DISTRIBUIÇÃO EM  ACO RECOBERTO COM ALUMINIO PARA CABO 25MM2, ENCAPADO. FORNECIMENTO E INSTALAÇÃO.</v>
          </cell>
          <cell r="C1718" t="str">
            <v>UN</v>
          </cell>
          <cell r="D1718">
            <v>6.35</v>
          </cell>
        </row>
        <row r="1719">
          <cell r="A1719" t="str">
            <v>73767/3</v>
          </cell>
          <cell r="B1719" t="str">
            <v>LACO DE ROLDANA PRE-FORMADO ACO RECOBERTO DE ALUMINIO PARA CABO DE ALUMINIO NU BITOLA 25MM2 - FORNECIMENTO E COLOCACAO</v>
          </cell>
          <cell r="C1719" t="str">
            <v>UN</v>
          </cell>
          <cell r="D1719">
            <v>4.3899999999999997</v>
          </cell>
        </row>
        <row r="1720">
          <cell r="A1720" t="str">
            <v>73767/4</v>
          </cell>
          <cell r="B1720" t="str">
            <v>ALCA PRE-FORMADA DISTRIBUICAO EM ACO RECOBERTO COM ALUMINIO NU PARA CABO 25MM2, ENCAPADO. FORNECIMENTO E INSTALACAO.</v>
          </cell>
          <cell r="C1720" t="str">
            <v>UN</v>
          </cell>
          <cell r="D1720">
            <v>3.32</v>
          </cell>
        </row>
        <row r="1721">
          <cell r="A1721" t="str">
            <v>73767/5</v>
          </cell>
          <cell r="B1721" t="str">
            <v>ALCA PRE-FORMADA SERV DE ACO RECOB C/ALUM NU ENCAPADO 25MM2 (BITOLA)  CONF PROJ A4-148-CP RIOLUZ FORNECIMENTO E COLOCACAO</v>
          </cell>
          <cell r="C1721" t="str">
            <v>UN</v>
          </cell>
          <cell r="D1721">
            <v>4.29</v>
          </cell>
        </row>
        <row r="1722">
          <cell r="A1722" t="str">
            <v>73781/1</v>
          </cell>
          <cell r="B1722" t="str">
            <v>MUFLA TERMINAL PRIMARIA UNIPOLAR USO INTERNO PARA CABO 35/120MM2, ISOLACAO 15/25KV EM EPR - BORRACHA DE SILICONE. FORNECIMENTO E INSTALACAO.</v>
          </cell>
          <cell r="C1722" t="str">
            <v>UN</v>
          </cell>
          <cell r="D1722">
            <v>463.28</v>
          </cell>
        </row>
        <row r="1723">
          <cell r="A1723" t="str">
            <v>73781/2</v>
          </cell>
          <cell r="B1723" t="str">
            <v>ISOLADOR DE PINO TP HI-POT CILINDRICO CLASSE 15KV. FORNECIMENTO E INSTALACAO.</v>
          </cell>
          <cell r="C1723" t="str">
            <v>UN</v>
          </cell>
          <cell r="D1723">
            <v>22.35</v>
          </cell>
        </row>
        <row r="1724">
          <cell r="A1724" t="str">
            <v>73781/3</v>
          </cell>
          <cell r="B1724" t="str">
            <v>ISOLADOR DE SUSPENSAO (DISCO) TP CAVILHA CLASSE 15KV - 6''. FORNECIMENTO E INSTALACAO.</v>
          </cell>
          <cell r="C1724" t="str">
            <v>UN</v>
          </cell>
          <cell r="D1724">
            <v>83.1</v>
          </cell>
        </row>
        <row r="1725">
          <cell r="A1725" t="str">
            <v>73854/1</v>
          </cell>
          <cell r="B1725" t="str">
            <v>ARMACAO SECUNDARIA VERTICAL COMPLETA PARA REDE BAIXA TENSAO.MAO DE OBRA PARA INSTALACAO.</v>
          </cell>
          <cell r="C1725" t="str">
            <v>UN</v>
          </cell>
          <cell r="D1725">
            <v>8.82</v>
          </cell>
        </row>
        <row r="1726">
          <cell r="A1726" t="str">
            <v>73854/2</v>
          </cell>
          <cell r="B1726" t="str">
            <v>ARMACAO SECUNDARIA VERTICAL COMPLETA PARA REDE DE BAIXA TENSÃO,  CONJUNTO DE 4 ESTRIBOS COM CONDUTORES, ALINHAMENTO RETO, ANGULO INFERIOR A 90 GRAUS E PONTO TERMINAL. FORNECIMENTO E INSTALAÇÃO.</v>
          </cell>
          <cell r="C1726" t="str">
            <v>UN</v>
          </cell>
          <cell r="D1726">
            <v>37.65</v>
          </cell>
        </row>
        <row r="1727">
          <cell r="A1727" t="str">
            <v>73854/3</v>
          </cell>
          <cell r="B1727" t="str">
            <v>ARMACAO SECUNDARIA VERTICAL COMPLETA PARA REDE DE BAIXA TENSÃO, CONJUNTO DE 3 ESTRIBOS COM CONDUTORES , ALINHAMENTO RETO, ANGULO INFERIOR A 90GRAUS  E PONTO TERMINAL. FORNECIMENTO E INSTALACAO</v>
          </cell>
          <cell r="C1727" t="str">
            <v>UN</v>
          </cell>
          <cell r="D1727">
            <v>28.56</v>
          </cell>
        </row>
        <row r="1728">
          <cell r="A1728" t="str">
            <v>73783/1</v>
          </cell>
          <cell r="B1728" t="str">
            <v>POSTE CONCRETO SECAO CIRCULAR COMPRIMENTO=5M CARGA NOMINAL TOPO 100KG INCLUSIVE ESCAVACAO EXCLUSIVE TRANSPORTE - FORNECIMENTO E COLOCACAO</v>
          </cell>
          <cell r="C1728" t="str">
            <v>UN</v>
          </cell>
          <cell r="D1728">
            <v>306.01</v>
          </cell>
        </row>
        <row r="1729">
          <cell r="A1729" t="str">
            <v>73783/2</v>
          </cell>
          <cell r="B1729" t="str">
            <v>POSTE CONCRETO SEÇÃO CIRCULAR COMPRIMENTO=5M CARGA NOMINAL TOPO 200KG INCLUSIVE ESCAVACAO EXCLUSIVE TRANSPORTE - FORNECIMENTO E COLOCAÇÃO</v>
          </cell>
          <cell r="C1729" t="str">
            <v>UN</v>
          </cell>
          <cell r="D1729">
            <v>318.08</v>
          </cell>
        </row>
        <row r="1730">
          <cell r="A1730" t="str">
            <v>73783/3</v>
          </cell>
          <cell r="B1730" t="str">
            <v>POSTE CONCRETO SEÇÃO CIRCULAR COMPRIMENTO=5M CARGA NOMINAL TOPO 300KG INCLUSIVE ESCAVACAO EXCLUSIVE TRANSPORTE - FORNECIMENTO E COLOCAÇÃO</v>
          </cell>
          <cell r="C1730" t="str">
            <v>UN</v>
          </cell>
          <cell r="D1730">
            <v>377.21</v>
          </cell>
        </row>
        <row r="1731">
          <cell r="A1731" t="str">
            <v>73783/4</v>
          </cell>
          <cell r="B1731" t="str">
            <v>POSTE CONCRETO SEÇÃO CIRCULAR COMPRIMENTO=5M CARGA NOMINAL TOPO 400KG INCLUSIVE ESCAVACAO EXCLUSIVE TRANSPORTE - FORNECIMENTO E COLOCAÇÃO</v>
          </cell>
          <cell r="C1731" t="str">
            <v>UN</v>
          </cell>
          <cell r="D1731">
            <v>408.03</v>
          </cell>
        </row>
        <row r="1732">
          <cell r="A1732" t="str">
            <v>73783/5</v>
          </cell>
          <cell r="B1732" t="str">
            <v>POSTE CONCRETO SEÇÃO CIRCULAR COMPRIMENTO=7M CARGA NOMINAL TOPO 100KG INCLUSIVE ESCAVACAO EXCLUSIVE TRANSPORTE - FORNECIMENTO E COLOCAÇÃO</v>
          </cell>
          <cell r="C1732" t="str">
            <v>UN</v>
          </cell>
          <cell r="D1732">
            <v>420.4</v>
          </cell>
        </row>
        <row r="1733">
          <cell r="A1733" t="str">
            <v>73783/6</v>
          </cell>
          <cell r="B1733" t="str">
            <v>POSTE CONCRETO SEÇÃO CIRCULAR COMPRIMENTO=7M CARGA NOMINAL TOPO 200KG INCLUSIVE ESCAVACAO EXCLUSIVE TRANSPORTE - FORNECIMENTO E COLOCAÇÃO</v>
          </cell>
          <cell r="C1733" t="str">
            <v>UN</v>
          </cell>
          <cell r="D1733">
            <v>498.42</v>
          </cell>
        </row>
        <row r="1734">
          <cell r="A1734" t="str">
            <v>73783/7</v>
          </cell>
          <cell r="B1734" t="str">
            <v>POSTE CONCRETO SEÇÃO CIRCULAR COMPRIMENTO=7M CARGA NOMINAL TOPO 400KG INCLUSIVE ESCAVACAO EXCLUSIVE TRANSPORTE - FORNECIMENTO E COLOCAÇÃO</v>
          </cell>
          <cell r="C1734" t="str">
            <v>UN</v>
          </cell>
          <cell r="D1734">
            <v>588.45000000000005</v>
          </cell>
        </row>
        <row r="1735">
          <cell r="A1735" t="str">
            <v>73783/8</v>
          </cell>
          <cell r="B1735" t="str">
            <v>POSTE CONCRETO SEÇÃO CIRCULAR COMPRIMENTO=11M  E CARGA NOMINAL 200KG INCLUSIVE ESCAVACAO EXCLUSIVE TRANSPORTE - FORNECIMENTO E COLOCAÇÃO</v>
          </cell>
          <cell r="C1735" t="str">
            <v>UN</v>
          </cell>
          <cell r="D1735">
            <v>887.46</v>
          </cell>
        </row>
        <row r="1736">
          <cell r="A1736" t="str">
            <v>73783/9</v>
          </cell>
          <cell r="B1736" t="str">
            <v>POSTE CONCRETO SEÇÃO CIRCULAR COMPRIMENTO=11M  CARGA NOMINAL NO TOPO 300KG INCLUSIVE ESCAVACAO EXCLUSIVE TRANSPORTE - FORNECIMENTO E COLOCAÇÃO</v>
          </cell>
          <cell r="C1736" t="str">
            <v>UN</v>
          </cell>
          <cell r="D1736">
            <v>889.48</v>
          </cell>
        </row>
        <row r="1737">
          <cell r="A1737" t="str">
            <v>73783/10</v>
          </cell>
          <cell r="B1737" t="str">
            <v>POSTE CONCRETO SEÇÃO CIRCULAR COMPRIMENTO=11M  CARGA NOMINAL NO TOPO 400KG INCLUSIVE ESCAVACAO EXCLUSIVE TRANSPORTE - FORNECIMENTO E COLOCAÇÃO</v>
          </cell>
          <cell r="C1737" t="str">
            <v>UN</v>
          </cell>
          <cell r="D1737">
            <v>1069.78</v>
          </cell>
        </row>
        <row r="1738">
          <cell r="A1738" t="str">
            <v>73783/11</v>
          </cell>
          <cell r="B1738" t="str">
            <v>POSTE CONCRETO SEÇÃO CIRCULAR COMPRIMENTO=14M  CARGA NOMINAL NO TOPO 400KG INCLUSIVE ESCAVACAO EXCLUSIVE TRANSPORTE - FORNECIMENTO E COLOCAÇÃO</v>
          </cell>
          <cell r="C1738" t="str">
            <v>UN</v>
          </cell>
          <cell r="D1738">
            <v>1667.22</v>
          </cell>
        </row>
        <row r="1739">
          <cell r="A1739" t="str">
            <v>73783/12</v>
          </cell>
          <cell r="B1739" t="str">
            <v>POSTE CONCRETO SEÇÃO CIRCULAR COMPRIMENTO=7M CARGA NOMINAL NO TOPO 300KG INCLUSIVE ESCAVACAO EXCLUSIVE TRANSPORTE - FORNECIMENTO E COLOCAÇÃO</v>
          </cell>
          <cell r="C1739" t="str">
            <v>UN</v>
          </cell>
          <cell r="D1739">
            <v>581.02</v>
          </cell>
        </row>
        <row r="1740">
          <cell r="A1740" t="str">
            <v>73783/13</v>
          </cell>
          <cell r="B1740" t="str">
            <v>POSTE CONCRETO SEÇÃO CIRCULAR COMPRIMENTO=9M CARGA NOMINAL NO TOPO 150KG INCLUSIVE ESCAVACAO EXCLUSIVE TRANSPORTE - FORNECIMENTO E COLOCAÇÃO</v>
          </cell>
          <cell r="C1740" t="str">
            <v>UN</v>
          </cell>
          <cell r="D1740">
            <v>597.42999999999995</v>
          </cell>
        </row>
        <row r="1741">
          <cell r="A1741" t="str">
            <v>73783/14</v>
          </cell>
          <cell r="B1741" t="str">
            <v>POSTE CONCRETO SEÇÃO CIRCULAR COMPRIMENTO=9M CARGA NOMINAL NO TOPO 200KG INCLUSIVE ESCAVACAO EXCLUSIVE TRANSPORTE - FORNECIMENTO E COLOCAÇÃO</v>
          </cell>
          <cell r="C1741" t="str">
            <v>UN</v>
          </cell>
          <cell r="D1741">
            <v>656.46</v>
          </cell>
        </row>
        <row r="1742">
          <cell r="A1742" t="str">
            <v>73783/15</v>
          </cell>
          <cell r="B1742" t="str">
            <v>POSTE CONCRETO SEÇÃO CIRCULAR COMPRIMENTO=9M CARGA NOMINAL NO TOPO 300KG INCLUSIVE ESCAVACAO EXCLUSIVE TRANSPORTE - FORNECIMENTO E COLOCAÇÃO</v>
          </cell>
          <cell r="C1742" t="str">
            <v>UN</v>
          </cell>
          <cell r="D1742">
            <v>708.35</v>
          </cell>
        </row>
        <row r="1743">
          <cell r="A1743" t="str">
            <v>73783/16</v>
          </cell>
          <cell r="B1743" t="str">
            <v>POSTE CONCRETO SEÇÃO CIRCULAR COMPRIMENTO=9M CARGA NOMINAL NO TOPO 400KG INCLUSIVE ESCAVACAO EXCLUSIVE TRANSPORTE - FORNECIMENTO E COLOCAÇÃO</v>
          </cell>
          <cell r="C1743" t="str">
            <v>UN</v>
          </cell>
          <cell r="D1743">
            <v>851.85</v>
          </cell>
        </row>
        <row r="1744">
          <cell r="A1744" t="str">
            <v>73783/17</v>
          </cell>
          <cell r="B1744" t="str">
            <v>POSTE CONCRETO SEÇÃO CIRCULAR COMPRIMENTO=10M CARGA NOMINAL NO TOPO 600KG INCLUSIVE ESCAVACAO EXCLUSIVE TRANSPORTE - FORNECIMENTO E COLOCAÇÃO</v>
          </cell>
          <cell r="C1744" t="str">
            <v>UN</v>
          </cell>
          <cell r="D1744">
            <v>1136.47</v>
          </cell>
        </row>
        <row r="1745">
          <cell r="A1745">
            <v>83394</v>
          </cell>
          <cell r="B1745" t="str">
            <v>POSTE DE CONCRETO DUPLO T H=11M E CARGA NOMINAL 200KG INCLUSIVE ESCAVACAO, EXCLUSIVE TRANSPORTE - FORNECIMENTO E INSTALACAO</v>
          </cell>
          <cell r="C1745" t="str">
            <v>UN</v>
          </cell>
          <cell r="D1745">
            <v>732.72</v>
          </cell>
        </row>
        <row r="1746">
          <cell r="A1746">
            <v>83395</v>
          </cell>
          <cell r="B1746" t="str">
            <v>POSTE DE CONCRETO DUPLO T H=9M CARGA NOMINAL 150KG INCLUSIVE ESCAVACAO, EXCLUSIVE TRANSPORTE - FORNECIMENTO E INSTALACAO</v>
          </cell>
          <cell r="C1746" t="str">
            <v>UN</v>
          </cell>
          <cell r="D1746">
            <v>567.24</v>
          </cell>
        </row>
        <row r="1747">
          <cell r="A1747">
            <v>83396</v>
          </cell>
          <cell r="B1747" t="str">
            <v>POSTE DE CONCRETO DUPLO T H=9M CARGA NOMINAL 300KG INCLUSIVE ESCAVACAO, EXCLUSIVE TRANSPORTE - FORNECIMENTO E INSTALACAO</v>
          </cell>
          <cell r="C1747" t="str">
            <v>UN</v>
          </cell>
          <cell r="D1747">
            <v>663.45</v>
          </cell>
        </row>
        <row r="1748">
          <cell r="A1748">
            <v>83397</v>
          </cell>
          <cell r="B1748" t="str">
            <v>POSTE DE CONCRETO DUPLO T H=9M CARGA NOMINAL 500KG INCLUSIVE ESCAVACAO, EXCLUSIVE TRANSPORTE - FORNECIMENTO E INSTALACAO</v>
          </cell>
          <cell r="C1748" t="str">
            <v>UN</v>
          </cell>
          <cell r="D1748">
            <v>899.39</v>
          </cell>
        </row>
        <row r="1749">
          <cell r="A1749">
            <v>83398</v>
          </cell>
          <cell r="B1749" t="str">
            <v>POSTE DE CONCRETO DUPLO T H=10M CARGA NOMINAL 300KG INCLUSIVE ESCAVACAO, EXCLUSIVE TRANSPORTE - FORNECIMENTO E INSTALACAO</v>
          </cell>
          <cell r="C1749" t="str">
            <v>UN</v>
          </cell>
          <cell r="D1749">
            <v>776.86</v>
          </cell>
        </row>
        <row r="1750">
          <cell r="A1750" t="str">
            <v>73769/1</v>
          </cell>
          <cell r="B1750" t="str">
            <v>POSTE ACO CONICO CONTINUO CURVO SIMPLES SEM BASE C/JANELA 9M (INSPECAO) - FORNECIMENTO E INSTALACAO</v>
          </cell>
          <cell r="C1750" t="str">
            <v>UN</v>
          </cell>
          <cell r="D1750">
            <v>1384.15</v>
          </cell>
        </row>
        <row r="1751">
          <cell r="A1751" t="str">
            <v>73769/2</v>
          </cell>
          <cell r="B1751" t="str">
            <v>POSTE DE AÇO CONICO CONTÍNUO CURVO SIMPLES, FLANGEADO, COM JANELA DE INSPEÇÃO H=9M - FORNECIMENTO E INSTALACAO</v>
          </cell>
          <cell r="C1751" t="str">
            <v>UN</v>
          </cell>
          <cell r="D1751">
            <v>1179.58</v>
          </cell>
        </row>
        <row r="1752">
          <cell r="A1752" t="str">
            <v>73769/3</v>
          </cell>
          <cell r="B1752" t="str">
            <v>POSTE DE ACO CONICO CONTINUO CURVO DUPLO, FLANGEADO, COM JANELA DE INSPECAO H=9M - FORNECIMENTO E INSTALACAO</v>
          </cell>
          <cell r="C1752" t="str">
            <v>UN</v>
          </cell>
          <cell r="D1752">
            <v>1525.49</v>
          </cell>
        </row>
        <row r="1753">
          <cell r="A1753" t="str">
            <v>73769/4</v>
          </cell>
          <cell r="B1753" t="str">
            <v>POSTE DE ACO CONICO CONTINUO RETO, FLANGEADO, H=9M - FORNECIMENTO E INSTALACAO</v>
          </cell>
          <cell r="C1753" t="str">
            <v>UN</v>
          </cell>
          <cell r="D1753">
            <v>1248.54</v>
          </cell>
        </row>
        <row r="1754">
          <cell r="A1754" t="str">
            <v>73855/1</v>
          </cell>
          <cell r="B1754" t="str">
            <v>CHUMBADOR DE AÇO PARA FIXAÇÃO DE POSTE DE ACO RETO OU CURVO 7 A 9M COM FLANGE - FORNECIMENTO E INSTALACAO</v>
          </cell>
          <cell r="C1754" t="str">
            <v>UN</v>
          </cell>
          <cell r="D1754">
            <v>317.66000000000003</v>
          </cell>
        </row>
        <row r="1755">
          <cell r="A1755">
            <v>83473</v>
          </cell>
          <cell r="B1755" t="str">
            <v>POSTE METALICO DECORATIVO EXTERNO P/ JARDIM H = 2,50M D = 75MM C/ 1 LUMINARIA PARA LAMPADA INCANDESCENTE - FORNECIMENTO E INSTALACAO</v>
          </cell>
          <cell r="C1755" t="str">
            <v>UN</v>
          </cell>
          <cell r="D1755">
            <v>298.22000000000003</v>
          </cell>
        </row>
        <row r="1756">
          <cell r="A1756">
            <v>83474</v>
          </cell>
          <cell r="B1756" t="str">
            <v>POSTE METALICO DECORATIVO EXTERNO P/ JARDIM H = 2,50M D = 75MM C/ 2 LUMINARIAS PARA LAMPADA INCANDESCENTE - FORNECIMENTO E INSTALACAO</v>
          </cell>
          <cell r="C1756" t="str">
            <v>UN</v>
          </cell>
          <cell r="D1756">
            <v>356.58</v>
          </cell>
        </row>
        <row r="1757">
          <cell r="A1757">
            <v>72281</v>
          </cell>
          <cell r="B1757" t="str">
            <v>REATOR PARA LAMPADA VAPOR DE MERCURIO USO EXTERNO 220V/400W</v>
          </cell>
          <cell r="C1757" t="str">
            <v>UN</v>
          </cell>
          <cell r="D1757">
            <v>68.86</v>
          </cell>
        </row>
        <row r="1758">
          <cell r="A1758">
            <v>72282</v>
          </cell>
          <cell r="B1758" t="str">
            <v>REATOR PARA LAMPADA VAPOR DE SODIO ALTA PRESSAO - 220V/250W - USO EXTERNO</v>
          </cell>
          <cell r="C1758" t="str">
            <v>UN</v>
          </cell>
          <cell r="D1758">
            <v>94.71</v>
          </cell>
        </row>
        <row r="1759">
          <cell r="A1759" t="str">
            <v>73831/1</v>
          </cell>
          <cell r="B1759" t="str">
            <v>LAMPADA DE VAPOR DE MERCURIO DE 125W - FORNECIMENTO E INSTALACAO</v>
          </cell>
          <cell r="C1759" t="str">
            <v>UN</v>
          </cell>
          <cell r="D1759">
            <v>11.58</v>
          </cell>
        </row>
        <row r="1760">
          <cell r="A1760" t="str">
            <v>73831/2</v>
          </cell>
          <cell r="B1760" t="str">
            <v>LAMPADA DE VAPOR DE MERCURIO DE 250W - FORNECIMENTO E INSTALACAO</v>
          </cell>
          <cell r="C1760" t="str">
            <v>UN</v>
          </cell>
          <cell r="D1760">
            <v>21.72</v>
          </cell>
        </row>
        <row r="1761">
          <cell r="A1761" t="str">
            <v>73831/3</v>
          </cell>
          <cell r="B1761" t="str">
            <v>LAMPADA DE VAPOR DE MERCURIO DE 400W/250V - FORNECIMENTO E INSTALACAO</v>
          </cell>
          <cell r="C1761" t="str">
            <v>UN</v>
          </cell>
          <cell r="D1761">
            <v>31.43</v>
          </cell>
        </row>
        <row r="1762">
          <cell r="A1762" t="str">
            <v>73831/4</v>
          </cell>
          <cell r="B1762" t="str">
            <v>LAMPADA MISTA DE 160W - FORNECIMENTO E INSTALACAO</v>
          </cell>
          <cell r="C1762" t="str">
            <v>UN</v>
          </cell>
          <cell r="D1762">
            <v>12.1</v>
          </cell>
        </row>
        <row r="1763">
          <cell r="A1763" t="str">
            <v>73831/5</v>
          </cell>
          <cell r="B1763" t="str">
            <v>LAMPADA MISTA DE 250W - FORNECIMENTO E INSTALACAO</v>
          </cell>
          <cell r="C1763" t="str">
            <v>UN</v>
          </cell>
          <cell r="D1763">
            <v>15.27</v>
          </cell>
        </row>
        <row r="1764">
          <cell r="A1764" t="str">
            <v>73831/6</v>
          </cell>
          <cell r="B1764" t="str">
            <v>LAMPADA MISTA DE 500W - FORNECIMENTO E INSTALACAO</v>
          </cell>
          <cell r="C1764" t="str">
            <v>UN</v>
          </cell>
          <cell r="D1764">
            <v>31.86</v>
          </cell>
        </row>
        <row r="1765">
          <cell r="A1765" t="str">
            <v>73831/7</v>
          </cell>
          <cell r="B1765" t="str">
            <v>LAMPADA DE VAPOR DE SODIO DE 150WX220V - FORNECIMENTO E INSTALACAO</v>
          </cell>
          <cell r="C1765" t="str">
            <v>UN</v>
          </cell>
          <cell r="D1765">
            <v>30.63</v>
          </cell>
        </row>
        <row r="1766">
          <cell r="A1766" t="str">
            <v>73831/8</v>
          </cell>
          <cell r="B1766" t="str">
            <v>LAMPADA DE VAPOR DE SODIO DE 250WX220V - FORNECIMENTO E INSTALACAO</v>
          </cell>
          <cell r="C1766" t="str">
            <v>UN</v>
          </cell>
          <cell r="D1766">
            <v>34.58</v>
          </cell>
        </row>
        <row r="1767">
          <cell r="A1767" t="str">
            <v>73831/9</v>
          </cell>
          <cell r="B1767" t="str">
            <v>LAMPADA DE VAPOR DE SODIO DE 400WX220V - FORNECIMENTO E INSTALACAO</v>
          </cell>
          <cell r="C1767" t="str">
            <v>UN</v>
          </cell>
          <cell r="D1767">
            <v>40.86</v>
          </cell>
        </row>
        <row r="1768">
          <cell r="A1768" t="str">
            <v>74231/1</v>
          </cell>
          <cell r="B1768" t="str">
            <v>LUMINARIA ABERTA PARA ILUMINACAO PUBLICA, PARA LAMPADA A VAPOR DE MERCURIO ATE 400W E MISTA ATE 500W, COM BRACO EM TUBO DE ACO GALV D=50MM PROJ HOR=2.500MM E PROJ VERT= 2.200MM, FORNECIMENTO E INSTALACAO</v>
          </cell>
          <cell r="C1768" t="str">
            <v>UN</v>
          </cell>
          <cell r="D1768">
            <v>90.76</v>
          </cell>
        </row>
        <row r="1769">
          <cell r="A1769" t="str">
            <v>74246/1</v>
          </cell>
          <cell r="B1769" t="str">
            <v>REFLETOR RETANGULAR FECHADO COM LAMPADA VAPOR METALICO 400 W</v>
          </cell>
          <cell r="C1769" t="str">
            <v>UN</v>
          </cell>
          <cell r="D1769">
            <v>211.88</v>
          </cell>
        </row>
        <row r="1770">
          <cell r="A1770">
            <v>83399</v>
          </cell>
          <cell r="B1770" t="str">
            <v>RELE FOTOELETRICO P/ COMANDO DE ILUMINACAO EXTERNA 220V/1000W - FORNECIMENTO E INSTALACAO</v>
          </cell>
          <cell r="C1770" t="str">
            <v>UN</v>
          </cell>
          <cell r="D1770">
            <v>29.05</v>
          </cell>
        </row>
        <row r="1771">
          <cell r="A1771">
            <v>83400</v>
          </cell>
          <cell r="B1771" t="str">
            <v>BRACO P/ ILUMINACAO DE RUAS EM TUBO ACO GALV 1" COMP = 1,20M E INCLINACAO 25GRAUS EM RELACAO AO PLANO VERTICAL P/ FIXACAO EM POSTE OU PAREDE - FORNECIMENTO E INSTALACAO</v>
          </cell>
          <cell r="C1771" t="str">
            <v>UN</v>
          </cell>
          <cell r="D1771">
            <v>60.63</v>
          </cell>
        </row>
        <row r="1772">
          <cell r="A1772">
            <v>83401</v>
          </cell>
          <cell r="B1772" t="str">
            <v>BRACO P/ ILUMINACAO DE RUAS, EM TUBO ACO GALV 3/4", COMP = 1,5M P/FIXACAO EM POSTE OU PAREDE - FORNECIMENTO E INSTALACAO</v>
          </cell>
          <cell r="C1772" t="str">
            <v>UN</v>
          </cell>
          <cell r="D1772">
            <v>119.63</v>
          </cell>
        </row>
        <row r="1773">
          <cell r="A1773">
            <v>83402</v>
          </cell>
          <cell r="B1773" t="str">
            <v>ABRACADEIRA DE FIXACAO DE BRACOS DE LUMINARIAS DE 4" - FORNECIMENTO E INSTALACAO</v>
          </cell>
          <cell r="C1773" t="str">
            <v>UN</v>
          </cell>
          <cell r="D1773">
            <v>32.67</v>
          </cell>
        </row>
        <row r="1774">
          <cell r="A1774">
            <v>83475</v>
          </cell>
          <cell r="B1774" t="str">
            <v>LUMINARIA FECHADA PARA ILUMINACAO PUBLICA COM REATOR DE PARTIDA RAPIDA COM LAMPADA A VAPOR DE MERCURIO 250W - FORNECIMENTO E INSTALACAO</v>
          </cell>
          <cell r="C1774" t="str">
            <v>UN</v>
          </cell>
          <cell r="D1774">
            <v>253.15</v>
          </cell>
        </row>
        <row r="1775">
          <cell r="A1775">
            <v>83476</v>
          </cell>
          <cell r="B1775" t="str">
            <v>LUMINARIA A PROVA DE GASES E TEMPO PARA LAMPADA INCANDESCENTE, MISTA OU VAPOR DE MERCURIO C/ LAMPADA INCANDESCENTE DE 100W</v>
          </cell>
          <cell r="C1775" t="str">
            <v>UN</v>
          </cell>
          <cell r="D1775">
            <v>84.76</v>
          </cell>
        </row>
        <row r="1776">
          <cell r="A1776">
            <v>83477</v>
          </cell>
          <cell r="B1776" t="str">
            <v>LUMINARIA A PROVA DE GASES E TEMPO PARA LAMPADA INCANDESCENTE, MISTA OU VAPOR DE MERCURIO C/ LAMPADA INCANDESCENTE DE 200W</v>
          </cell>
          <cell r="C1776" t="str">
            <v>UN</v>
          </cell>
          <cell r="D1776">
            <v>106</v>
          </cell>
        </row>
        <row r="1777">
          <cell r="A1777">
            <v>83478</v>
          </cell>
          <cell r="B1777" t="str">
            <v>LUMINARIA FECHADA PARA ILUMINACAO PUBLICA - LAMPADAS DE 250/500W - FORNECIMENTO E INSTALACAO (EXCLUINDO LAMPADAS)</v>
          </cell>
          <cell r="C1777" t="str">
            <v>UN</v>
          </cell>
          <cell r="D1777">
            <v>177.76</v>
          </cell>
        </row>
        <row r="1778">
          <cell r="A1778">
            <v>83479</v>
          </cell>
          <cell r="B1778" t="str">
            <v>LUMINARIA ESTANQUE - PROTECAO CONTRA AGUA, POEIRA OU IMPACTOS - TIPO AQUATIC PIAL OU EQUIVALENTE</v>
          </cell>
          <cell r="C1778" t="str">
            <v>UN</v>
          </cell>
          <cell r="D1778">
            <v>113.98</v>
          </cell>
        </row>
        <row r="1779">
          <cell r="A1779">
            <v>83480</v>
          </cell>
          <cell r="B1779" t="str">
            <v>REATOR PARA LAMPADA VAPOR DE MERCURIO 125W  USO EXTERNO</v>
          </cell>
          <cell r="C1779" t="str">
            <v>UN</v>
          </cell>
          <cell r="D1779">
            <v>54.88</v>
          </cell>
        </row>
        <row r="1780">
          <cell r="A1780">
            <v>83481</v>
          </cell>
          <cell r="B1780" t="str">
            <v>REATOR PARA LAMPADA VAPOR DE MERCURIO 250W USO EXTERNO</v>
          </cell>
          <cell r="C1780" t="str">
            <v>UN</v>
          </cell>
          <cell r="D1780">
            <v>62.08</v>
          </cell>
        </row>
        <row r="1781">
          <cell r="A1781">
            <v>84225</v>
          </cell>
          <cell r="B1781" t="str">
            <v>PROJETOR P/ FACHADA A PROVA DE TEMPO P/ LAMPADA INCANDESCENTE OU VAPOR MERCURIO - FORNECIMENTO E INSTALACAO</v>
          </cell>
          <cell r="C1781" t="str">
            <v>UN</v>
          </cell>
          <cell r="D1781">
            <v>92.06</v>
          </cell>
        </row>
        <row r="1782">
          <cell r="A1782" t="str">
            <v>73857/1</v>
          </cell>
          <cell r="B1782" t="str">
            <v>TRANSFORMADOR DISTRIBUICAO  75KVA TRIFASICO 60HZ CLASSE 15KV IMERSO EM ÓLEO MINERAL FORNECIMENTO E INSTALACAO</v>
          </cell>
          <cell r="C1782" t="str">
            <v>UN</v>
          </cell>
          <cell r="D1782">
            <v>6614.09</v>
          </cell>
        </row>
        <row r="1783">
          <cell r="A1783" t="str">
            <v>73857/2</v>
          </cell>
          <cell r="B1783" t="str">
            <v>TRANSFORMADOR DISTRIBUICAO  112,5KVA TRIFASICO 60HZ CLASSE 15KV IMERSO EM ÓLEO MINERAL FORNECIMENTO E INSTALACAO</v>
          </cell>
          <cell r="C1783" t="str">
            <v>UN</v>
          </cell>
          <cell r="D1783">
            <v>8539.5</v>
          </cell>
        </row>
        <row r="1784">
          <cell r="A1784" t="str">
            <v>73857/3</v>
          </cell>
          <cell r="B1784" t="str">
            <v>TRANSFORMADOR DISTRIBUICAO  150KVA TRIFASICO 60HZ CLASSE 15KV IMERSO EM ÓLEO MINERAL FORNECIMENTO E INSTALACAO</v>
          </cell>
          <cell r="C1784" t="str">
            <v>UN</v>
          </cell>
          <cell r="D1784">
            <v>9911.85</v>
          </cell>
        </row>
        <row r="1785">
          <cell r="A1785" t="str">
            <v>73857/4</v>
          </cell>
          <cell r="B1785" t="str">
            <v>TRANSFORMADOR DISTRIBUICAO  225KVA TRIFASICO 60HZ CLASSE 15KV IMERSO EM ÓLEO MINERAL FORNECIMENTO E INSTALACAO</v>
          </cell>
          <cell r="C1785" t="str">
            <v>UN</v>
          </cell>
          <cell r="D1785">
            <v>14243.96</v>
          </cell>
        </row>
        <row r="1786">
          <cell r="A1786" t="str">
            <v>73857/5</v>
          </cell>
          <cell r="B1786" t="str">
            <v>TRANSFORMADOR DISTRIBUICAO  300KVA TRIFASICO 60HZ CLASSE 15KV IMERSO EM ÓLEO MINERAL FORNECIMENTO E INSTALACAO</v>
          </cell>
          <cell r="C1786" t="str">
            <v>UN</v>
          </cell>
          <cell r="D1786">
            <v>17528.7</v>
          </cell>
        </row>
        <row r="1787">
          <cell r="A1787" t="str">
            <v>73857/6</v>
          </cell>
          <cell r="B1787" t="str">
            <v>TRANSFORMADOR DISTRIBUICAO  500KVA TRIFASICO 60HZ CLASSE 15KV IMERSO EM ÓLEO MINERAL FORNECIMENTO E INSTALACAO</v>
          </cell>
          <cell r="C1787" t="str">
            <v>UN</v>
          </cell>
          <cell r="D1787">
            <v>26210.5</v>
          </cell>
        </row>
        <row r="1788">
          <cell r="A1788" t="str">
            <v>73857/7</v>
          </cell>
          <cell r="B1788" t="str">
            <v>TRANSFORMADOR DISTRIBUICAO  30KVA TRIFASICO 60HZ CLASSE 15KV IMERSO EM ÓLEO MINERAL FORNECIMENTO E INSTALACAO</v>
          </cell>
          <cell r="C1788" t="str">
            <v>UN</v>
          </cell>
          <cell r="D1788">
            <v>4422.08</v>
          </cell>
        </row>
        <row r="1789">
          <cell r="A1789" t="str">
            <v>73857/8</v>
          </cell>
          <cell r="B1789" t="str">
            <v>TRANSFORMADOR DISTRIBUICAO  45KVA TRIFASICO 60HZ CLASSE 15KV IMERSO EM ÓLEO MINERAL FORNECIMENTO E INSTALACAO</v>
          </cell>
          <cell r="C1789" t="str">
            <v>UN</v>
          </cell>
          <cell r="D1789">
            <v>5160.3100000000004</v>
          </cell>
        </row>
        <row r="1790">
          <cell r="A1790" t="str">
            <v>73857/9</v>
          </cell>
          <cell r="B1790" t="str">
            <v>TRANSFORMADOR DISTRIBUICAO  750KVA TRIFASICO 60HZ CLASSE 15KV IMERSO EM ÓLEO MINERAL FORNECIMENTO E INSTALACAO</v>
          </cell>
          <cell r="C1790" t="str">
            <v>UN</v>
          </cell>
          <cell r="D1790">
            <v>46320.58</v>
          </cell>
        </row>
        <row r="1791">
          <cell r="A1791" t="str">
            <v>73857/10</v>
          </cell>
          <cell r="B1791" t="str">
            <v>TRANSFORMADOR DISTRIBUICAO  1000KVA TRIFASICO 60HZ CLASSE 15KV IMERSO EM ÓLEO MINERAL FORNECIMENTO E INSTALACAO</v>
          </cell>
          <cell r="C1791" t="str">
            <v>UN</v>
          </cell>
          <cell r="D1791">
            <v>68412.69</v>
          </cell>
        </row>
        <row r="1792">
          <cell r="A1792" t="str">
            <v>74027/1</v>
          </cell>
          <cell r="B1792" t="str">
            <v>GRUPO GERADOR 150/170 KVA MOTOR DIESEL - DEPRECIACAO</v>
          </cell>
          <cell r="C1792" t="str">
            <v>H</v>
          </cell>
          <cell r="D1792">
            <v>6.15</v>
          </cell>
        </row>
        <row r="1793">
          <cell r="A1793" t="str">
            <v>74027/2</v>
          </cell>
          <cell r="B1793" t="str">
            <v>GRUPO GERADOR 150/170 KVA MOTOR DIESEL - JUROS</v>
          </cell>
          <cell r="C1793" t="str">
            <v>H</v>
          </cell>
          <cell r="D1793">
            <v>2.31</v>
          </cell>
        </row>
        <row r="1794">
          <cell r="A1794" t="str">
            <v>74027/3</v>
          </cell>
          <cell r="B1794" t="str">
            <v>GRUPO GERADOR 150/170 KVA MOTOR DIESEL - MANUTENCAO</v>
          </cell>
          <cell r="C1794" t="str">
            <v>H</v>
          </cell>
          <cell r="D1794">
            <v>3.07</v>
          </cell>
        </row>
        <row r="1795">
          <cell r="A1795" t="str">
            <v>74027/4</v>
          </cell>
          <cell r="B1795" t="str">
            <v>GRUPO GERADOR 150/170 KVA MOTOR DIESEL - MATERIAL NA OPERACAO</v>
          </cell>
          <cell r="C1795" t="str">
            <v>H</v>
          </cell>
          <cell r="D1795">
            <v>78.319999999999993</v>
          </cell>
        </row>
        <row r="1796">
          <cell r="A1796" t="str">
            <v>74027/5</v>
          </cell>
          <cell r="B1796" t="str">
            <v>GRUPO GERADOR 150/170 KVA MOTOR DIESEL - UTILIZACAO OPERATIVA</v>
          </cell>
          <cell r="C1796" t="str">
            <v>CHP</v>
          </cell>
          <cell r="D1796">
            <v>89.87</v>
          </cell>
        </row>
        <row r="1797">
          <cell r="A1797" t="str">
            <v>74028/1</v>
          </cell>
          <cell r="B1797" t="str">
            <v>GRUPO GERADOR 40 KVA MOTOR DIESEL - DEPRECIACAO E JUROS</v>
          </cell>
          <cell r="C1797" t="str">
            <v>H</v>
          </cell>
          <cell r="D1797">
            <v>2.8</v>
          </cell>
        </row>
        <row r="1798">
          <cell r="A1798" t="str">
            <v>74028/2</v>
          </cell>
          <cell r="B1798" t="str">
            <v>GRUPO GERADOR 40 KVA MOTOR DIESEL - MANUTENCAO</v>
          </cell>
          <cell r="C1798" t="str">
            <v>H</v>
          </cell>
          <cell r="D1798">
            <v>0.99</v>
          </cell>
        </row>
        <row r="1799">
          <cell r="A1799" t="str">
            <v>74028/3</v>
          </cell>
          <cell r="B1799" t="str">
            <v>GRUPO GERADOR 40 KVA MOTOR DIESEL - MATERIAL NA OPERACAO</v>
          </cell>
          <cell r="C1799" t="str">
            <v>H</v>
          </cell>
          <cell r="D1799">
            <v>25.64</v>
          </cell>
        </row>
        <row r="1800">
          <cell r="A1800" t="str">
            <v>74028/4</v>
          </cell>
          <cell r="B1800" t="str">
            <v>GRUPO GERADOR 40 KVA MOTOR DIESEL - UTILIZACAO OPERATIVA</v>
          </cell>
          <cell r="C1800" t="str">
            <v>CHP</v>
          </cell>
          <cell r="D1800">
            <v>29.43</v>
          </cell>
        </row>
        <row r="1801">
          <cell r="A1801">
            <v>8260</v>
          </cell>
          <cell r="B1801" t="str">
            <v>INSTALACAO PARA-RAIOS P/RESERVATORIO</v>
          </cell>
          <cell r="C1801" t="str">
            <v>UN</v>
          </cell>
          <cell r="D1801">
            <v>2072.14</v>
          </cell>
        </row>
        <row r="1802">
          <cell r="A1802">
            <v>68069</v>
          </cell>
          <cell r="B1802" t="str">
            <v>HASTE COPPERWELD 5/8 X 3,0M COM CONECTOR</v>
          </cell>
          <cell r="C1802" t="str">
            <v>UN</v>
          </cell>
          <cell r="D1802">
            <v>35.24</v>
          </cell>
        </row>
        <row r="1803">
          <cell r="A1803">
            <v>68070</v>
          </cell>
          <cell r="B1803" t="str">
            <v>PARA-RAIOS TIPO FRANKLIN - CABO E SUPORTE ISOLADOR</v>
          </cell>
          <cell r="C1803" t="str">
            <v>M</v>
          </cell>
          <cell r="D1803">
            <v>34.57</v>
          </cell>
        </row>
        <row r="1804">
          <cell r="A1804">
            <v>72315</v>
          </cell>
          <cell r="B1804" t="str">
            <v>TERMINAL AEREO EM ACO GALVANIZADO COM BASE DE FIXACAO H = 30CM</v>
          </cell>
          <cell r="C1804" t="str">
            <v>UN</v>
          </cell>
          <cell r="D1804">
            <v>16.760000000000002</v>
          </cell>
        </row>
        <row r="1805">
          <cell r="A1805">
            <v>72927</v>
          </cell>
          <cell r="B1805" t="str">
            <v>CORDOALHA DE COBRE NU, INCLUSIVE ISOLADORES - 16,00 MM2 - FORNECIMENTO E INSTALACAO</v>
          </cell>
          <cell r="C1805" t="str">
            <v>M</v>
          </cell>
          <cell r="D1805">
            <v>21.11</v>
          </cell>
        </row>
        <row r="1806">
          <cell r="A1806">
            <v>72928</v>
          </cell>
          <cell r="B1806" t="str">
            <v>CORDOALHA DE COBRE NU, INCLUSIVE ISOLADORES - 25,00 MM2 - FORNECIMENTO E INSTALACAO</v>
          </cell>
          <cell r="C1806" t="str">
            <v>M</v>
          </cell>
          <cell r="D1806">
            <v>25.42</v>
          </cell>
        </row>
        <row r="1807">
          <cell r="A1807">
            <v>72929</v>
          </cell>
          <cell r="B1807" t="str">
            <v>CORDOALHA DE COBRE NU, INCLUSIVE ISOLADORES - 35,00 MM2 - FORNECIMENTO E INSTALACAO</v>
          </cell>
          <cell r="C1807" t="str">
            <v>M</v>
          </cell>
          <cell r="D1807">
            <v>28.95</v>
          </cell>
        </row>
        <row r="1808">
          <cell r="A1808">
            <v>72930</v>
          </cell>
          <cell r="B1808" t="str">
            <v>CORDOALHA DE COBRE NU, INCLUSIVE ISOLADORES - 50,00 MM2 - FORNECIMENTO E INSTALACAO</v>
          </cell>
          <cell r="C1808" t="str">
            <v>M</v>
          </cell>
          <cell r="D1808">
            <v>34.76</v>
          </cell>
        </row>
        <row r="1809">
          <cell r="A1809">
            <v>72931</v>
          </cell>
          <cell r="B1809" t="str">
            <v>CORDOALHA DE COBRE NU, INCLUSIVE ISOLADORES - 70,00 MM2 - FORNECIMENTO E INSTALACAO</v>
          </cell>
          <cell r="C1809" t="str">
            <v>M</v>
          </cell>
          <cell r="D1809">
            <v>42.85</v>
          </cell>
        </row>
        <row r="1810">
          <cell r="A1810">
            <v>72932</v>
          </cell>
          <cell r="B1810" t="str">
            <v>CORDOALHA DE COBRE NU, INCLUSIVE ISOLADORES - 95,00 MM2 - FORNECIMENTO E INSTALACAO</v>
          </cell>
          <cell r="C1810" t="str">
            <v>M</v>
          </cell>
          <cell r="D1810">
            <v>50.83</v>
          </cell>
        </row>
        <row r="1811">
          <cell r="A1811">
            <v>83483</v>
          </cell>
          <cell r="B1811" t="str">
            <v>HASTE DE TERRA CANTONEIRA GALVANIZADA L=2,00M COM CONEXOES</v>
          </cell>
          <cell r="C1811" t="str">
            <v>UN</v>
          </cell>
          <cell r="D1811">
            <v>43.38</v>
          </cell>
        </row>
        <row r="1812">
          <cell r="A1812">
            <v>83484</v>
          </cell>
          <cell r="B1812" t="str">
            <v>HASTE COPERWELD 3/4" X 3,00M COM CONECTOR</v>
          </cell>
          <cell r="C1812" t="str">
            <v>UN</v>
          </cell>
          <cell r="D1812">
            <v>47.75</v>
          </cell>
        </row>
        <row r="1813">
          <cell r="A1813">
            <v>83485</v>
          </cell>
          <cell r="B1813" t="str">
            <v>HASTE COPERWELD 3/8" X 3,00M COM CONECTOR</v>
          </cell>
          <cell r="C1813" t="str">
            <v>UN</v>
          </cell>
          <cell r="D1813">
            <v>30.96</v>
          </cell>
        </row>
        <row r="1814">
          <cell r="A1814">
            <v>83638</v>
          </cell>
          <cell r="B1814" t="str">
            <v>MASTRO SIMPLES DE FERRO GALVANIZADO P/ PARA-RAIOS H=3,00M INCLUINDO BASE - FORNECIMENTO E INSTALACAO</v>
          </cell>
          <cell r="C1814" t="str">
            <v>UN</v>
          </cell>
          <cell r="D1814">
            <v>240.77</v>
          </cell>
        </row>
        <row r="1815">
          <cell r="A1815">
            <v>83641</v>
          </cell>
          <cell r="B1815" t="str">
            <v>PARA-RAIO TP VALVULA 15KV/5KA - FORNECIMENTO E INSTALACAO</v>
          </cell>
          <cell r="C1815" t="str">
            <v>UN</v>
          </cell>
          <cell r="D1815">
            <v>274.94</v>
          </cell>
        </row>
        <row r="1816">
          <cell r="A1816">
            <v>9535</v>
          </cell>
          <cell r="B1816" t="str">
            <v>CHUVEIRO ELETRICO COMUM CORPO PLASTICO TIPO DUCHA, FORNECIMENTO E INSTALACAO</v>
          </cell>
          <cell r="C1816" t="str">
            <v>UN</v>
          </cell>
          <cell r="D1816">
            <v>43.88</v>
          </cell>
        </row>
        <row r="1817">
          <cell r="A1817">
            <v>41598</v>
          </cell>
          <cell r="B1817" t="str">
            <v>ENTRADA PROVISORIA DE ENERGIA ELETRICA AEREA TRIFASICA 40A EM POSTE MADEIRA</v>
          </cell>
          <cell r="C1817" t="str">
            <v>UN</v>
          </cell>
          <cell r="D1817">
            <v>691.84</v>
          </cell>
        </row>
        <row r="1818">
          <cell r="A1818" t="str">
            <v>73851/1</v>
          </cell>
          <cell r="B1818" t="str">
            <v>ARMACAO SECUNDARIA OU REX COMPLETA PARA DUAS LINHAS-FORNECIMENTO E INSTALACAO.</v>
          </cell>
          <cell r="C1818" t="str">
            <v>UN</v>
          </cell>
          <cell r="D1818">
            <v>68.17</v>
          </cell>
        </row>
        <row r="1819">
          <cell r="A1819" t="str">
            <v>73851/2</v>
          </cell>
          <cell r="B1819" t="str">
            <v>ARMACAO SECUNDARIA OU REX COMPLETA PARA TRESLINHAS-FORNECIMENTO E INSTALACAO.</v>
          </cell>
          <cell r="C1819" t="str">
            <v>UN</v>
          </cell>
          <cell r="D1819">
            <v>101.25</v>
          </cell>
        </row>
        <row r="1820">
          <cell r="A1820" t="str">
            <v>73851/3</v>
          </cell>
          <cell r="B1820" t="str">
            <v>ARMACAO SECUNDARIA OU REX COMPLETA PARA QUATRO LINHAS-FORNECIMENTO E INSTALACAO.</v>
          </cell>
          <cell r="C1820" t="str">
            <v>UN</v>
          </cell>
          <cell r="D1820">
            <v>114.69</v>
          </cell>
        </row>
        <row r="1821">
          <cell r="A1821">
            <v>83486</v>
          </cell>
          <cell r="B1821" t="str">
            <v>BOMBA CENTRIFUGA C/ MOTOR ELETRICO TRIFASICO 1CV</v>
          </cell>
          <cell r="C1821" t="str">
            <v>UN</v>
          </cell>
          <cell r="D1821">
            <v>801.5</v>
          </cell>
        </row>
        <row r="1822">
          <cell r="A1822">
            <v>72322</v>
          </cell>
          <cell r="B1822" t="str">
            <v>CHAVE SECCIONADORA TRIPOLAR, ABERTURA SOB CARGA, COM FUSÍVEIS NH - 100A/250V - FORNECIMENTO E INSTALACAO</v>
          </cell>
          <cell r="C1822" t="str">
            <v>UN</v>
          </cell>
          <cell r="D1822">
            <v>254.09</v>
          </cell>
        </row>
        <row r="1823">
          <cell r="A1823">
            <v>72326</v>
          </cell>
          <cell r="B1823" t="str">
            <v>CHAVE SECCIONADORA TRIPOLAR, ABERTURA SOB CARGA, COM FUSÍVEIS NH - 200A/250V</v>
          </cell>
          <cell r="C1823" t="str">
            <v>UN</v>
          </cell>
          <cell r="D1823">
            <v>308.77999999999997</v>
          </cell>
        </row>
        <row r="1824">
          <cell r="A1824">
            <v>72327</v>
          </cell>
          <cell r="B1824" t="str">
            <v>FUSÍVEL TIPO "DIAZED", TIPO RÁPIDO OU RETARDADO - 2/25A - FORNECIMENTO E INSTALACAO</v>
          </cell>
          <cell r="C1824" t="str">
            <v>UN</v>
          </cell>
          <cell r="D1824">
            <v>3.18</v>
          </cell>
        </row>
        <row r="1825">
          <cell r="A1825">
            <v>72328</v>
          </cell>
          <cell r="B1825" t="str">
            <v>FUSÍVEL TIPO "DIAZED", TIPO RÁPIDO OU RETARDADO - 35/63A - FORNECIMENTO E INSTALACAO</v>
          </cell>
          <cell r="C1825" t="str">
            <v>UN</v>
          </cell>
          <cell r="D1825">
            <v>3.36</v>
          </cell>
        </row>
        <row r="1826">
          <cell r="A1826">
            <v>72330</v>
          </cell>
          <cell r="B1826" t="str">
            <v>FUSÍVEL TIPO NH 200A - TAMANHO 01 - FORNECIMENTO E INSTALACAO</v>
          </cell>
          <cell r="C1826" t="str">
            <v>UN</v>
          </cell>
          <cell r="D1826">
            <v>12.69</v>
          </cell>
        </row>
        <row r="1827">
          <cell r="A1827" t="str">
            <v>73780/1</v>
          </cell>
          <cell r="B1827" t="str">
            <v>CHAVE FUSIVEL UNIPOLAR, 15KV - 100A, EQUIPADA COM COMANDO PARA HASTE DE MANOBRA .       FORNECIMENTO E INSTALAÇÃO.</v>
          </cell>
          <cell r="C1827" t="str">
            <v>UN</v>
          </cell>
          <cell r="D1827">
            <v>228.7</v>
          </cell>
        </row>
        <row r="1828">
          <cell r="A1828" t="str">
            <v>73780/2</v>
          </cell>
          <cell r="B1828" t="str">
            <v>CHAVE BLINDADA TRIPOLAR 250V, 30A - FORNECIMENTO E INSTALACAO</v>
          </cell>
          <cell r="C1828" t="str">
            <v>UN</v>
          </cell>
          <cell r="D1828">
            <v>143.69999999999999</v>
          </cell>
        </row>
        <row r="1829">
          <cell r="A1829" t="str">
            <v>73780/3</v>
          </cell>
          <cell r="B1829" t="str">
            <v>CHAVE BLINDADA TRIPOLAR 250V, 60A - FORNECIMENTO E INSTALACAO</v>
          </cell>
          <cell r="C1829" t="str">
            <v>UN</v>
          </cell>
          <cell r="D1829">
            <v>228.92</v>
          </cell>
        </row>
        <row r="1830">
          <cell r="A1830" t="str">
            <v>73780/4</v>
          </cell>
          <cell r="B1830" t="str">
            <v>CHAVE BLINDADA TRIPOLAR 250V, 100A - FORNECIMENTO E INSTALACAO</v>
          </cell>
          <cell r="C1830" t="str">
            <v>UN</v>
          </cell>
          <cell r="D1830">
            <v>514.95000000000005</v>
          </cell>
        </row>
        <row r="1831">
          <cell r="A1831">
            <v>83482</v>
          </cell>
          <cell r="B1831" t="str">
            <v>FUSIVEL TIPO NH 250A - TAMANHO 00 - FORNECIMENTO E INSTALACAO</v>
          </cell>
          <cell r="C1831" t="str">
            <v>UN</v>
          </cell>
          <cell r="D1831">
            <v>10.42</v>
          </cell>
        </row>
        <row r="1832">
          <cell r="A1832">
            <v>83487</v>
          </cell>
          <cell r="B1832" t="str">
            <v>BASE PARA FUSIVEL (PORTA-FUSIVEL) NH 01 250A</v>
          </cell>
          <cell r="C1832" t="str">
            <v>UN</v>
          </cell>
          <cell r="D1832">
            <v>57.33</v>
          </cell>
        </row>
        <row r="1833">
          <cell r="A1833">
            <v>83488</v>
          </cell>
          <cell r="B1833" t="str">
            <v>SECCIONADOR TRIPOLAR 15KV/400A ACIONAM SIMULT VARA MANOBRA (MANOBRA) - FORNECIMENTO E INSTALACAO</v>
          </cell>
          <cell r="C1833" t="str">
            <v>UN</v>
          </cell>
          <cell r="D1833">
            <v>1643.63</v>
          </cell>
        </row>
        <row r="1834">
          <cell r="A1834">
            <v>83489</v>
          </cell>
          <cell r="B1834" t="str">
            <v>SECCIONADOR TRIPOLAR 15KV/400A ACIONAM SIMULT PUNHO MANOBRA (COMANDO) - FORNECIMENTO E INSTALACAO</v>
          </cell>
          <cell r="C1834" t="str">
            <v>UN</v>
          </cell>
          <cell r="D1834">
            <v>1786.5</v>
          </cell>
        </row>
        <row r="1835">
          <cell r="A1835">
            <v>83490</v>
          </cell>
          <cell r="B1835" t="str">
            <v>CHAVE FACA TRIPOLAR BLINDADA 250V/30A - FORNECIMENTO E INSTALACAO</v>
          </cell>
          <cell r="C1835" t="str">
            <v>UN</v>
          </cell>
          <cell r="D1835">
            <v>141.55000000000001</v>
          </cell>
        </row>
        <row r="1836">
          <cell r="A1836">
            <v>83491</v>
          </cell>
          <cell r="B1836" t="str">
            <v>CHAVE GUARDA MOTOR TRIFASICO 5CV/220V C/ CHAVE MAGNETICA - FORNECIMENTO E INSTALACAO</v>
          </cell>
          <cell r="C1836" t="str">
            <v>UN</v>
          </cell>
          <cell r="D1836">
            <v>558.28</v>
          </cell>
        </row>
        <row r="1837">
          <cell r="A1837">
            <v>83492</v>
          </cell>
          <cell r="B1837" t="str">
            <v>CHAVE GUARDA MOTOR TRIFISICA 10CV/220V C/ CHAVE MAGNETICA - FORNECIMENTO E INSTALACAO</v>
          </cell>
          <cell r="C1837" t="str">
            <v>UN</v>
          </cell>
          <cell r="D1837">
            <v>542.41999999999996</v>
          </cell>
        </row>
        <row r="1838">
          <cell r="A1838">
            <v>83493</v>
          </cell>
          <cell r="B1838" t="str">
            <v>FUSIVEL TIPO NH 250A - TAMANHO 01 - FORNECIMENTO E INSTALACAO</v>
          </cell>
          <cell r="C1838" t="str">
            <v>UN</v>
          </cell>
          <cell r="D1838">
            <v>12.69</v>
          </cell>
        </row>
        <row r="1839">
          <cell r="A1839">
            <v>85195</v>
          </cell>
          <cell r="B1839" t="str">
            <v>CHAVE DE BOIA AUTOMÁTICA</v>
          </cell>
          <cell r="C1839" t="str">
            <v>UN</v>
          </cell>
          <cell r="D1839">
            <v>41.99</v>
          </cell>
        </row>
        <row r="1840">
          <cell r="A1840">
            <v>72283</v>
          </cell>
          <cell r="B1840" t="str">
            <v>ABRIGO PARA HIDRANTE, 75X45X17CM, COM REGISTRO GLOBO ANGULAR 45º 2.1/2", ADAPTADOR STORZ 2.1/2", MANGUEIRA DE INCÊNDIO 15M, REDUÇÃO 2.1/2X1.1/2" E ESGUICHO EM LATÃO 1.1/2" - FORNECIMENTO E INSTALAÇÃO</v>
          </cell>
          <cell r="C1840" t="str">
            <v>UN</v>
          </cell>
          <cell r="D1840">
            <v>625.74</v>
          </cell>
        </row>
        <row r="1841">
          <cell r="A1841">
            <v>72284</v>
          </cell>
          <cell r="B1841" t="str">
            <v>ABRIGO PARA HIDRANTE, 90X60X17CM, COM REGISTRO GLOBO ANGULAR 45º 2.1/2", ADAPTADOR STORZ 2.1/2", MANGUEIRA DE INCÊNDIO 20M, REDUÇÃO 2.1/2X1.1/2" E ESGUICHO EM LATÃO 1.1/2" - FORNECIMENTO E INSTALAÇÃO</v>
          </cell>
          <cell r="C1841" t="str">
            <v>UN</v>
          </cell>
          <cell r="D1841">
            <v>924.57</v>
          </cell>
        </row>
        <row r="1842">
          <cell r="A1842">
            <v>72287</v>
          </cell>
          <cell r="B1842" t="str">
            <v>CAIXA DE INCÊNDIO 45X75X17CM - FORNECIMENTO E INSTALAÇÃO</v>
          </cell>
          <cell r="C1842" t="str">
            <v>UN</v>
          </cell>
          <cell r="D1842">
            <v>158.27000000000001</v>
          </cell>
        </row>
        <row r="1843">
          <cell r="A1843">
            <v>72288</v>
          </cell>
          <cell r="B1843" t="str">
            <v>CAIXA DE INCÊNDIO 60X75X17CM - FORNECIMENTO E INSTALAÇÃO</v>
          </cell>
          <cell r="C1843" t="str">
            <v>UN</v>
          </cell>
          <cell r="D1843">
            <v>202.04</v>
          </cell>
        </row>
        <row r="1844">
          <cell r="A1844">
            <v>72553</v>
          </cell>
          <cell r="B1844" t="str">
            <v>EXTINTOR DE PQS 4KG - FORNECIMENTO E INSTALACAO</v>
          </cell>
          <cell r="C1844" t="str">
            <v>UN</v>
          </cell>
          <cell r="D1844">
            <v>86.08</v>
          </cell>
        </row>
        <row r="1845">
          <cell r="A1845">
            <v>72554</v>
          </cell>
          <cell r="B1845" t="str">
            <v>EXTINTOR DE CO2 6KG - FORNECIMENTO E INSTALACAO</v>
          </cell>
          <cell r="C1845" t="str">
            <v>UN</v>
          </cell>
          <cell r="D1845">
            <v>327.68</v>
          </cell>
        </row>
        <row r="1846">
          <cell r="A1846" t="str">
            <v>73775/1</v>
          </cell>
          <cell r="B1846" t="str">
            <v>EXTINTOR INCENDIO TP PO QUIMICO 4KG FORNECIMENTO E COLOCACAO</v>
          </cell>
          <cell r="C1846" t="str">
            <v>UN</v>
          </cell>
          <cell r="D1846">
            <v>89.19</v>
          </cell>
        </row>
        <row r="1847">
          <cell r="A1847" t="str">
            <v>73775/2</v>
          </cell>
          <cell r="B1847" t="str">
            <v>EXTINTOR INCENDIO AGUA-PRESSURIZADA 10L INCL SUPORTE PAREDE CARGA     COMPLETA FORNECIMENTO E COLOCACAO</v>
          </cell>
          <cell r="C1847" t="str">
            <v>UN</v>
          </cell>
          <cell r="D1847">
            <v>100.83</v>
          </cell>
        </row>
        <row r="1848">
          <cell r="A1848">
            <v>83633</v>
          </cell>
          <cell r="B1848" t="str">
            <v>HIDRANTE SUBTERRANEO FERRO FUNDIDO C/ CURVA LONGA E CAIXA DN=75MM</v>
          </cell>
          <cell r="C1848" t="str">
            <v>UN</v>
          </cell>
          <cell r="D1848">
            <v>2970.96</v>
          </cell>
        </row>
        <row r="1849">
          <cell r="A1849">
            <v>83634</v>
          </cell>
          <cell r="B1849" t="str">
            <v>EXTINTOR INCENDIO TP GAS CARBONICO 4KG COMPLETO - FORNECIMENTO E INSTALACAO</v>
          </cell>
          <cell r="C1849" t="str">
            <v>UN</v>
          </cell>
          <cell r="D1849">
            <v>272.13</v>
          </cell>
        </row>
        <row r="1850">
          <cell r="A1850">
            <v>83635</v>
          </cell>
          <cell r="B1850" t="str">
            <v>EXTINTOR INCENDIO TP PO QUIMICO 6KG - FORNECIMENTO E INSTALACAO</v>
          </cell>
          <cell r="C1850" t="str">
            <v>UN</v>
          </cell>
          <cell r="D1850">
            <v>108.19</v>
          </cell>
        </row>
        <row r="1851">
          <cell r="A1851">
            <v>72337</v>
          </cell>
          <cell r="B1851" t="str">
            <v>TOMADA PARA TELEFONE DE 4 POLOS PADRAO TELEBRAS - FORNECIMENTO E INSTALACAO</v>
          </cell>
          <cell r="C1851" t="str">
            <v>UN</v>
          </cell>
          <cell r="D1851">
            <v>15.78</v>
          </cell>
        </row>
        <row r="1852">
          <cell r="A1852">
            <v>73688</v>
          </cell>
          <cell r="B1852" t="str">
            <v>CABO TELEFONICO CTP-APL-50, 30 PARES (USO EXTERNO) - FORNECIMENTO E INSTALACAO</v>
          </cell>
          <cell r="C1852" t="str">
            <v>M</v>
          </cell>
          <cell r="D1852">
            <v>9.9499999999999993</v>
          </cell>
        </row>
        <row r="1853">
          <cell r="A1853">
            <v>73689</v>
          </cell>
          <cell r="B1853" t="str">
            <v>CABO TELEFONICO CTP-APL-50, 20 PARES (USO EXTERNO) - FORNECIMENTO E INSTALACAO</v>
          </cell>
          <cell r="C1853" t="str">
            <v>M</v>
          </cell>
          <cell r="D1853">
            <v>7.87</v>
          </cell>
        </row>
        <row r="1854">
          <cell r="A1854">
            <v>73690</v>
          </cell>
          <cell r="B1854" t="str">
            <v>CABO TELEFONICO CTP-APL-50, 10 PARES (USO EXTERNO) - FORNECIMENTO E INSTALACAO</v>
          </cell>
          <cell r="C1854" t="str">
            <v>M</v>
          </cell>
          <cell r="D1854">
            <v>5.13</v>
          </cell>
        </row>
        <row r="1855">
          <cell r="A1855" t="str">
            <v>73749/1</v>
          </cell>
          <cell r="B1855" t="str">
            <v>CAIXA ENTERRADA PARA INSTALACOES TELEFONICAS TIPO R1 0,60X0,35X0,50M EM BLOCOS DE CONCRETO ESTRUTURAL</v>
          </cell>
          <cell r="C1855" t="str">
            <v>UN</v>
          </cell>
          <cell r="D1855">
            <v>133.77000000000001</v>
          </cell>
        </row>
        <row r="1856">
          <cell r="A1856" t="str">
            <v>73749/2</v>
          </cell>
          <cell r="B1856" t="str">
            <v>CAIXA ENTERRADA PARA INSTALACOES TELEFONICAS TIPO R2 1,07X0,52X0,50M EM BLOCOS DE CONCRETO ESTRUTURAL</v>
          </cell>
          <cell r="C1856" t="str">
            <v>UN</v>
          </cell>
          <cell r="D1856">
            <v>245.95</v>
          </cell>
        </row>
        <row r="1857">
          <cell r="A1857" t="str">
            <v>73749/3</v>
          </cell>
          <cell r="B1857" t="str">
            <v>CAIXA ENTERRADA PARA INSTALACOES TELEFONICAS TIPO R3 1,30X1,20X1,20M EM BLOCOS DE CONCRETO ESTRUTURAL</v>
          </cell>
          <cell r="C1857" t="str">
            <v>UN</v>
          </cell>
          <cell r="D1857">
            <v>816.28</v>
          </cell>
        </row>
        <row r="1858">
          <cell r="A1858" t="str">
            <v>73768/1</v>
          </cell>
          <cell r="B1858" t="str">
            <v>FIO TELEFONICO FI 0,6MM, 2 CONDUTORES (USO INTERNO)-  FORNECIMENTO E INSTALACAO</v>
          </cell>
          <cell r="C1858" t="str">
            <v>M</v>
          </cell>
          <cell r="D1858">
            <v>1.08</v>
          </cell>
        </row>
        <row r="1859">
          <cell r="A1859" t="str">
            <v>73768/2</v>
          </cell>
          <cell r="B1859" t="str">
            <v>CABO TELEFONICO FE 1,0MM, 2 CONDUTORES (USO EXTERNO) - FORNECIMENTO E INSTALACAO</v>
          </cell>
          <cell r="C1859" t="str">
            <v>M</v>
          </cell>
          <cell r="D1859">
            <v>1.95</v>
          </cell>
        </row>
        <row r="1860">
          <cell r="A1860" t="str">
            <v>73768/3</v>
          </cell>
          <cell r="B1860" t="str">
            <v>CABO TELEFONICO CI-50 10 PARES (USO INTERNO) - FORNECIMENTO E INSTALACAO</v>
          </cell>
          <cell r="C1860" t="str">
            <v>M</v>
          </cell>
          <cell r="D1860">
            <v>3.9</v>
          </cell>
        </row>
        <row r="1861">
          <cell r="A1861" t="str">
            <v>73768/4</v>
          </cell>
          <cell r="B1861" t="str">
            <v>CABO TELEFONICO CI-50 20PARES (USO INTERNO) - FORNECIMENTO E INSTALACAO</v>
          </cell>
          <cell r="C1861" t="str">
            <v>M</v>
          </cell>
          <cell r="D1861">
            <v>5.7</v>
          </cell>
        </row>
        <row r="1862">
          <cell r="A1862" t="str">
            <v>73768/5</v>
          </cell>
          <cell r="B1862" t="str">
            <v>CABO TELEFONICO CI-50 30PARES (USO INTERNO) - FORNECIMENTO E INSTALACAO</v>
          </cell>
          <cell r="C1862" t="str">
            <v>M</v>
          </cell>
          <cell r="D1862">
            <v>7.58</v>
          </cell>
        </row>
        <row r="1863">
          <cell r="A1863" t="str">
            <v>73768/6</v>
          </cell>
          <cell r="B1863" t="str">
            <v>CABO TELEFONICO CI-50 50PARES (USO INTERNO) - FORNECIMENTO E INSTALACAO</v>
          </cell>
          <cell r="C1863" t="str">
            <v>M</v>
          </cell>
          <cell r="D1863">
            <v>12.37</v>
          </cell>
        </row>
        <row r="1864">
          <cell r="A1864" t="str">
            <v>73768/7</v>
          </cell>
          <cell r="B1864" t="str">
            <v>CABO TELEFONICO CI-50 75 PARES (USO INTERNO) - FORNECIMENTO E INSTALACAO</v>
          </cell>
          <cell r="C1864" t="str">
            <v>M</v>
          </cell>
          <cell r="D1864">
            <v>15.14</v>
          </cell>
        </row>
        <row r="1865">
          <cell r="A1865" t="str">
            <v>73768/8</v>
          </cell>
          <cell r="B1865" t="str">
            <v>CABO TELEFONICO CI-50 200 PARES (USO INTERNO) - FORNECIMENTO E INSTALACAO</v>
          </cell>
          <cell r="C1865" t="str">
            <v>M</v>
          </cell>
          <cell r="D1865">
            <v>42.78</v>
          </cell>
        </row>
        <row r="1866">
          <cell r="A1866" t="str">
            <v>73768/9</v>
          </cell>
          <cell r="B1866" t="str">
            <v>CABO TELEFONICO CCI-50 1 PAR (USO INTERNO) - FORNECIMENTO E INSTALACAO</v>
          </cell>
          <cell r="C1866" t="str">
            <v>M</v>
          </cell>
          <cell r="D1866">
            <v>0.78</v>
          </cell>
        </row>
        <row r="1867">
          <cell r="A1867" t="str">
            <v>73768/10</v>
          </cell>
          <cell r="B1867" t="str">
            <v>CABO TELEFONICO CCI-50 2 PARES (USO INTERNO) - FORNECIMENTO E INSTALACAO</v>
          </cell>
          <cell r="C1867" t="str">
            <v>M</v>
          </cell>
          <cell r="D1867">
            <v>1</v>
          </cell>
        </row>
        <row r="1868">
          <cell r="A1868" t="str">
            <v>73768/11</v>
          </cell>
          <cell r="B1868" t="str">
            <v>CABO TELEFONICO CCI-50 3 PARES (USO INTERNO) - FORNECIMENTO E INSTALACAO</v>
          </cell>
          <cell r="C1868" t="str">
            <v>M</v>
          </cell>
          <cell r="D1868">
            <v>1.26</v>
          </cell>
        </row>
        <row r="1869">
          <cell r="A1869" t="str">
            <v>73768/12</v>
          </cell>
          <cell r="B1869" t="str">
            <v>CABO TELEFONICO CCI-50 4 PARES (USO INTERNO) - FORNECIMENTO E INSTALACAO</v>
          </cell>
          <cell r="C1869" t="str">
            <v>M</v>
          </cell>
          <cell r="D1869">
            <v>1.5</v>
          </cell>
        </row>
        <row r="1870">
          <cell r="A1870" t="str">
            <v>73768/13</v>
          </cell>
          <cell r="B1870" t="str">
            <v>CABO TELEFONICO CCI-50 5 PARES (USO INTERNO) - FORNECIMENTO E INSTALACAO</v>
          </cell>
          <cell r="C1870" t="str">
            <v>M</v>
          </cell>
          <cell r="D1870">
            <v>1.78</v>
          </cell>
        </row>
        <row r="1871">
          <cell r="A1871" t="str">
            <v>73768/14</v>
          </cell>
          <cell r="B1871" t="str">
            <v>CABO TELEFONICO CCI-50 6 PARES  (USO INTERNO) - FORNECIMENTO E INSTALACAO</v>
          </cell>
          <cell r="C1871" t="str">
            <v>M</v>
          </cell>
          <cell r="D1871">
            <v>2.48</v>
          </cell>
        </row>
        <row r="1872">
          <cell r="A1872" t="str">
            <v>74002/1</v>
          </cell>
          <cell r="B1872" t="str">
            <v>INSTALACOES TELEFONICAS P/ EDIFICIO RESIDENCIAL C/ 4 PAVTOS 16 UNID.</v>
          </cell>
          <cell r="C1872" t="str">
            <v>UN</v>
          </cell>
          <cell r="D1872">
            <v>3493.97</v>
          </cell>
        </row>
        <row r="1873">
          <cell r="A1873">
            <v>83366</v>
          </cell>
          <cell r="B1873" t="str">
            <v>CAIXA DE PASSAGEM PARA TELEFONE 10X10X5CM (SOBREPOR) FORNECIMENTO E INSTALACAO</v>
          </cell>
          <cell r="C1873" t="str">
            <v>UN</v>
          </cell>
          <cell r="D1873">
            <v>35.6</v>
          </cell>
        </row>
        <row r="1874">
          <cell r="A1874">
            <v>83367</v>
          </cell>
          <cell r="B1874" t="str">
            <v>CAIXA DE PASSAGEM PARA TELEFONE 80X80X15CM (SOBREPOR) FORNECIMENTO E INSTALACAO</v>
          </cell>
          <cell r="C1874" t="str">
            <v>UN</v>
          </cell>
          <cell r="D1874">
            <v>254.71</v>
          </cell>
        </row>
        <row r="1875">
          <cell r="A1875">
            <v>83368</v>
          </cell>
          <cell r="B1875" t="str">
            <v>CAIXA DE PASSAGEM PARA TELEFONE 150X150X15CM (SOBREPOR) FORNECIMENTO E INSTALACAO</v>
          </cell>
          <cell r="C1875" t="str">
            <v>UN</v>
          </cell>
          <cell r="D1875">
            <v>924.87</v>
          </cell>
        </row>
        <row r="1876">
          <cell r="A1876">
            <v>83369</v>
          </cell>
          <cell r="B1876" t="str">
            <v>QUADRO DE DISTRIBUICAO PARA TELEFONE N.4, 60X60X12CM EM CHAPA METALICA, DE EMBUTIR, SEM ACESSORIOS, PADRAO TELEBRAS, FORNECIMENTO E INSTALACAO</v>
          </cell>
          <cell r="C1876" t="str">
            <v>UN</v>
          </cell>
          <cell r="D1876">
            <v>171.93</v>
          </cell>
        </row>
        <row r="1877">
          <cell r="A1877">
            <v>83370</v>
          </cell>
          <cell r="B1877" t="str">
            <v>QUADRO DE DISTRIBUICAO PARA TELEFONE N.3, 40X40X12CM EM CHAPA METALICA, DE EMBUTIR, SEM ACESSORIOS, PADRAO TELEBRAS, FORNECIMENTO E INSTALACAO</v>
          </cell>
          <cell r="C1877" t="str">
            <v>UN</v>
          </cell>
          <cell r="D1877">
            <v>121.04</v>
          </cell>
        </row>
        <row r="1878">
          <cell r="A1878">
            <v>83371</v>
          </cell>
          <cell r="B1878" t="str">
            <v>QUADRO DE DISTRIBUICAO PARA TELEFONE N.2, 20X20X12CM EM CHAPA METALICA, DE EMBUTIR, SEM ACESSORIOS, PADRAO TELEBRAS, FORNECIMENTO E INSTALACAO</v>
          </cell>
          <cell r="C1878" t="str">
            <v>UN</v>
          </cell>
          <cell r="D1878">
            <v>76.56</v>
          </cell>
        </row>
        <row r="1879">
          <cell r="A1879">
            <v>83639</v>
          </cell>
          <cell r="B1879" t="str">
            <v>CABO TELEFONICO CT-APL-50, 100 PARES (USO EXTERNO) - FORNECIMENTO E INSTALACAO</v>
          </cell>
          <cell r="C1879" t="str">
            <v>M</v>
          </cell>
          <cell r="D1879">
            <v>19.84</v>
          </cell>
        </row>
        <row r="1880">
          <cell r="A1880">
            <v>84676</v>
          </cell>
          <cell r="B1880" t="str">
            <v>QUADRO DE DISTRIBUICAO PARA TELEFONE N.5, 80X80X12CM EM CHAPA METALICA, SEM ACESSORIOS, PADRAO TELEBRAS, FORNECIMENTO E INSTALACAO</v>
          </cell>
          <cell r="C1880" t="str">
            <v>UN</v>
          </cell>
          <cell r="D1880">
            <v>227.79</v>
          </cell>
        </row>
        <row r="1881">
          <cell r="A1881">
            <v>84796</v>
          </cell>
          <cell r="B1881" t="str">
            <v>TAMPAO FOFO P/ CAIXA R2 PADRAO TELEBRAS COMPLETO - FORNECIMENTO E INSTALACAO</v>
          </cell>
          <cell r="C1881" t="str">
            <v>UN</v>
          </cell>
          <cell r="D1881">
            <v>354.97</v>
          </cell>
        </row>
        <row r="1882">
          <cell r="A1882">
            <v>84798</v>
          </cell>
          <cell r="B1882" t="str">
            <v>TAMPAO FOFO P/ CAIXA R1 PADRAO TELEBRAS COMPLETO - FORNECIMENTO E INSTALACAO</v>
          </cell>
          <cell r="C1882" t="str">
            <v>UN</v>
          </cell>
          <cell r="D1882">
            <v>222.38</v>
          </cell>
        </row>
        <row r="1883">
          <cell r="A1883">
            <v>83636</v>
          </cell>
          <cell r="B1883" t="str">
            <v>DUTO CHAPA GALVANIZADA NUM 26 P/ AR CONDICIONADO</v>
          </cell>
          <cell r="C1883" t="str">
            <v>M2</v>
          </cell>
          <cell r="D1883">
            <v>158.63999999999999</v>
          </cell>
        </row>
        <row r="1884">
          <cell r="A1884">
            <v>83637</v>
          </cell>
          <cell r="B1884" t="str">
            <v>DUTO CHAPA GALVANIZADA NUM 22 P/ AR CONDICIONADO</v>
          </cell>
          <cell r="C1884" t="str">
            <v>M2</v>
          </cell>
          <cell r="D1884">
            <v>154.25</v>
          </cell>
        </row>
        <row r="1885">
          <cell r="A1885" t="str">
            <v>74003/1</v>
          </cell>
          <cell r="B1885" t="str">
            <v>INSTALACOES GAS CENTRAL P/ EDIFICIO RESIDENCIAL C/ 4 PAVTOS 16 UNID.  UMA CENTRAL POR BLOCO COM 16 PONTOS</v>
          </cell>
          <cell r="C1885" t="str">
            <v>UN</v>
          </cell>
          <cell r="D1885">
            <v>4005.5</v>
          </cell>
        </row>
        <row r="1886">
          <cell r="A1886">
            <v>85120</v>
          </cell>
          <cell r="B1886" t="str">
            <v>MANOMETRO 0 A 200 PSI (0 A 14 KGF/CM2), D = 50MM - FORNECIMENTO E COLOCACAO</v>
          </cell>
          <cell r="C1886" t="str">
            <v>UN</v>
          </cell>
          <cell r="D1886">
            <v>50.42</v>
          </cell>
        </row>
        <row r="1887">
          <cell r="A1887">
            <v>83643</v>
          </cell>
          <cell r="B1887" t="str">
            <v>BOMBA SUBMERSIVEL TRIFASICA 1CV PARA DRENAGEM, DE ATM=8MCA E Q=21,6M3/H A ATM=14MCA A Q=7M3/H</v>
          </cell>
          <cell r="C1887" t="str">
            <v>UN</v>
          </cell>
          <cell r="D1887">
            <v>2357.39</v>
          </cell>
        </row>
        <row r="1888">
          <cell r="A1888">
            <v>83644</v>
          </cell>
          <cell r="B1888" t="str">
            <v>BOMBA RECALQUE D'AGUA TRIFASICA 10,0 HP</v>
          </cell>
          <cell r="C1888" t="str">
            <v>UN</v>
          </cell>
          <cell r="D1888">
            <v>3370.6</v>
          </cell>
        </row>
        <row r="1889">
          <cell r="A1889">
            <v>83645</v>
          </cell>
          <cell r="B1889" t="str">
            <v>BOMBA RECALQUE D'AGUA TRIFASICA 3,0 HP</v>
          </cell>
          <cell r="C1889" t="str">
            <v>UN</v>
          </cell>
          <cell r="D1889">
            <v>1187.03</v>
          </cell>
        </row>
        <row r="1890">
          <cell r="A1890">
            <v>83646</v>
          </cell>
          <cell r="B1890" t="str">
            <v>BOMBA RECALQUE D'AGUA DE ESTAGIOS TRIFASICA 2,0 HP</v>
          </cell>
          <cell r="C1890" t="str">
            <v>UN</v>
          </cell>
          <cell r="D1890">
            <v>1540.95</v>
          </cell>
        </row>
        <row r="1891">
          <cell r="A1891">
            <v>83647</v>
          </cell>
          <cell r="B1891" t="str">
            <v>BOMBA RECALQUE D'AGUA TRIFASICA 1,5HP</v>
          </cell>
          <cell r="C1891" t="str">
            <v>UN</v>
          </cell>
          <cell r="D1891">
            <v>1025.6600000000001</v>
          </cell>
        </row>
        <row r="1892">
          <cell r="A1892">
            <v>83648</v>
          </cell>
          <cell r="B1892" t="str">
            <v>BOMBA RECALQUE D'AGUA TRIFASICA 0,5 HP</v>
          </cell>
          <cell r="C1892" t="str">
            <v>UN</v>
          </cell>
          <cell r="D1892">
            <v>613.15</v>
          </cell>
        </row>
        <row r="1893">
          <cell r="A1893">
            <v>83649</v>
          </cell>
          <cell r="B1893" t="str">
            <v>BOMBA RECALQUE D'AGUA PREDIO 6 A 10 PAVTOS - 2UD</v>
          </cell>
          <cell r="C1893" t="str">
            <v>UN</v>
          </cell>
          <cell r="D1893">
            <v>3482.89</v>
          </cell>
        </row>
        <row r="1894">
          <cell r="A1894">
            <v>83650</v>
          </cell>
          <cell r="B1894" t="str">
            <v>BOMBA RECALQUE D'AGUA PREDIO 3 A 5 PAVTOS - 2UD</v>
          </cell>
          <cell r="C1894" t="str">
            <v>UN</v>
          </cell>
          <cell r="D1894">
            <v>3160.15</v>
          </cell>
        </row>
        <row r="1895">
          <cell r="A1895">
            <v>6516</v>
          </cell>
          <cell r="B1895" t="str">
            <v>FORNECIMENTO E ASSENTAMENTO SIMPLES DE TUBO PVC P/ESGOTO              D = 100 MM</v>
          </cell>
          <cell r="C1895" t="str">
            <v>M</v>
          </cell>
          <cell r="D1895">
            <v>12.48</v>
          </cell>
        </row>
        <row r="1896">
          <cell r="A1896" t="str">
            <v>73976/2</v>
          </cell>
          <cell r="B1896" t="str">
            <v>TUBO DE AÇO GALVANIZADO COM COSTURA 1/2" (15MM), INCLUSIVE CONEXÕES  - FORNECIMENTO E INSTALAÇÃO</v>
          </cell>
          <cell r="C1896" t="str">
            <v>M</v>
          </cell>
          <cell r="D1896">
            <v>13.69</v>
          </cell>
        </row>
        <row r="1897">
          <cell r="A1897" t="str">
            <v>73976/3</v>
          </cell>
          <cell r="B1897" t="str">
            <v>TUBO DE AÇO GALVANIZADO COM COSTURA 3/4" (20MM), INCLUSIVE CONEXÕES - FORNECIMENTO E INSTALAÇÃO</v>
          </cell>
          <cell r="C1897" t="str">
            <v>M</v>
          </cell>
          <cell r="D1897">
            <v>18.29</v>
          </cell>
        </row>
        <row r="1898">
          <cell r="A1898" t="str">
            <v>73976/4</v>
          </cell>
          <cell r="B1898" t="str">
            <v>TUBO DE AÇO GALVANIZADO COM COSTURA 1" (25MM), INCLUSIVE CONEXOES - FORNECIMENTO E INSTALACAO</v>
          </cell>
          <cell r="C1898" t="str">
            <v>M</v>
          </cell>
          <cell r="D1898">
            <v>50.87</v>
          </cell>
        </row>
        <row r="1899">
          <cell r="A1899" t="str">
            <v>73976/5</v>
          </cell>
          <cell r="B1899" t="str">
            <v>TUBO DE AÇO GALVANIZADO COM COSTURA 1.1/4" (32MM), INCLUSIVE CONEXOES - FORNECIMENTO E INSTALACAO</v>
          </cell>
          <cell r="C1899" t="str">
            <v>M</v>
          </cell>
          <cell r="D1899">
            <v>64.31</v>
          </cell>
        </row>
        <row r="1900">
          <cell r="A1900" t="str">
            <v>73976/6</v>
          </cell>
          <cell r="B1900" t="str">
            <v>TUBO DE AÇO GALVANIZADO COM COSTURA 1.1/2" (40MM), INCLUSIVE CONEXOES - FORNECIMENTO E INSTALACAO</v>
          </cell>
          <cell r="C1900" t="str">
            <v>M</v>
          </cell>
          <cell r="D1900">
            <v>70.02</v>
          </cell>
        </row>
        <row r="1901">
          <cell r="A1901" t="str">
            <v>73976/7</v>
          </cell>
          <cell r="B1901" t="str">
            <v>TUBO DE AÇO GALVANIZADO COM COSTURA 2" (50MM), INCLUSIVE CONEXOES - FORNECIMENTO E INSTALACAO</v>
          </cell>
          <cell r="C1901" t="str">
            <v>M</v>
          </cell>
          <cell r="D1901">
            <v>89.69</v>
          </cell>
        </row>
        <row r="1902">
          <cell r="A1902" t="str">
            <v>73976/8</v>
          </cell>
          <cell r="B1902" t="str">
            <v>TUBO DE AÇO GALVANIZADO COM COSTURA 2.1/2" (65MM), INCLUSIVE CONEXOES - FORNECIMENTO E INSTALACAO</v>
          </cell>
          <cell r="C1902" t="str">
            <v>M</v>
          </cell>
          <cell r="D1902">
            <v>111.43</v>
          </cell>
        </row>
        <row r="1903">
          <cell r="A1903" t="str">
            <v>73976/9</v>
          </cell>
          <cell r="B1903" t="str">
            <v>TUBO DE AÇO GALVANIZADO COM COSTURA 3" (80MM), INCLUSIVE CONEXOES - FORNECIMENTO E INSTALACAO</v>
          </cell>
          <cell r="C1903" t="str">
            <v>M</v>
          </cell>
          <cell r="D1903">
            <v>119.7</v>
          </cell>
        </row>
        <row r="1904">
          <cell r="A1904" t="str">
            <v>73976/10</v>
          </cell>
          <cell r="B1904" t="str">
            <v>TUBO DE AÇO GALVANIZADO COM COSTURA 4" (100MM), INCLUSIVE CONEXOES - FORNECIMENTO E INSTALACAO</v>
          </cell>
          <cell r="C1904" t="str">
            <v>M</v>
          </cell>
          <cell r="D1904">
            <v>169.95</v>
          </cell>
        </row>
        <row r="1905">
          <cell r="A1905" t="str">
            <v>73976/11</v>
          </cell>
          <cell r="B1905" t="str">
            <v>TUBO DE AÇO GALVANIZADO COM COSTURA 6" (150MM), INCLUSIVE CONEXÕES - INSTALAÇÃO</v>
          </cell>
          <cell r="C1905" t="str">
            <v>M</v>
          </cell>
          <cell r="D1905">
            <v>245.99</v>
          </cell>
        </row>
        <row r="1906">
          <cell r="A1906" t="str">
            <v>74061/1</v>
          </cell>
          <cell r="B1906" t="str">
            <v>TUBO DE COBRE CLASSE "E" 15MM - FORNECIMENTO E INSTALACAO</v>
          </cell>
          <cell r="C1906" t="str">
            <v>M</v>
          </cell>
          <cell r="D1906">
            <v>17.010000000000002</v>
          </cell>
        </row>
        <row r="1907">
          <cell r="A1907" t="str">
            <v>74061/2</v>
          </cell>
          <cell r="B1907" t="str">
            <v>TUBO DE COBRE CLASSE "E" 22MM - FORNECIMENTO E INSTALACAO</v>
          </cell>
          <cell r="C1907" t="str">
            <v>M</v>
          </cell>
          <cell r="D1907">
            <v>22.82</v>
          </cell>
        </row>
        <row r="1908">
          <cell r="A1908" t="str">
            <v>74061/3</v>
          </cell>
          <cell r="B1908" t="str">
            <v>TUBO DE COBRE CLASSE "E" 28MM - FORNECIMENTO E INSTALACAO</v>
          </cell>
          <cell r="C1908" t="str">
            <v>M</v>
          </cell>
          <cell r="D1908">
            <v>27.18</v>
          </cell>
        </row>
        <row r="1909">
          <cell r="A1909" t="str">
            <v>74061/4</v>
          </cell>
          <cell r="B1909" t="str">
            <v>TUBO DE COBRE CLASSE "E" 35MM - FORNECIMENTO E INSTALACAO</v>
          </cell>
          <cell r="C1909" t="str">
            <v>M</v>
          </cell>
          <cell r="D1909">
            <v>39.159999999999997</v>
          </cell>
        </row>
        <row r="1910">
          <cell r="A1910" t="str">
            <v>74061/5</v>
          </cell>
          <cell r="B1910" t="str">
            <v>TUBO DE COBRE CLASSE "E" 42MM - FORNECIMENTO E INSTALACAO</v>
          </cell>
          <cell r="C1910" t="str">
            <v>M</v>
          </cell>
          <cell r="D1910">
            <v>61.71</v>
          </cell>
        </row>
        <row r="1911">
          <cell r="A1911" t="str">
            <v>74061/6</v>
          </cell>
          <cell r="B1911" t="str">
            <v>TUBO DE COBRE CLASSE "E" 54MM - FORNECIMENTO E INSTALACAO</v>
          </cell>
          <cell r="C1911" t="str">
            <v>M</v>
          </cell>
          <cell r="D1911">
            <v>76</v>
          </cell>
        </row>
        <row r="1912">
          <cell r="A1912" t="str">
            <v>74061/7</v>
          </cell>
          <cell r="B1912" t="str">
            <v>TUBO DE COBRE CLASSE "E" 66MM - FORNECIMENTO E INSTALACAO</v>
          </cell>
          <cell r="C1912" t="str">
            <v>M</v>
          </cell>
          <cell r="D1912">
            <v>105.53</v>
          </cell>
        </row>
        <row r="1913">
          <cell r="A1913" t="str">
            <v>74061/8</v>
          </cell>
          <cell r="B1913" t="str">
            <v>TUBO DE COBRE CLASSE "E" 79MM - FORNECIMENTO E INSTALACAO</v>
          </cell>
          <cell r="C1913" t="str">
            <v>M</v>
          </cell>
          <cell r="D1913">
            <v>149.05000000000001</v>
          </cell>
        </row>
        <row r="1914">
          <cell r="A1914" t="str">
            <v>74061/9</v>
          </cell>
          <cell r="B1914" t="str">
            <v>TUBO DE COBRE CLASSE "E" 104MM - FORNECIMENTO E INSTALACAO</v>
          </cell>
          <cell r="C1914" t="str">
            <v>M</v>
          </cell>
          <cell r="D1914">
            <v>212.65</v>
          </cell>
        </row>
        <row r="1915">
          <cell r="A1915" t="str">
            <v>74165/1</v>
          </cell>
          <cell r="B1915" t="str">
            <v>TUBO PVC ESGOTO JS PREDIAL DN 40MM, INCLUSIVE CONEXOES - FORNECIMENTO E INSTALACAO</v>
          </cell>
          <cell r="C1915" t="str">
            <v>M</v>
          </cell>
          <cell r="D1915">
            <v>18.53</v>
          </cell>
        </row>
        <row r="1916">
          <cell r="A1916" t="str">
            <v>74165/2</v>
          </cell>
          <cell r="B1916" t="str">
            <v>TUBO PVC ESGOTO PREDIAL DN 50MM, INCLUSIVE CONEXOES - FORNECIMENTO E INSTALACAO</v>
          </cell>
          <cell r="C1916" t="str">
            <v>M</v>
          </cell>
          <cell r="D1916">
            <v>25.1</v>
          </cell>
        </row>
        <row r="1917">
          <cell r="A1917" t="str">
            <v>74165/3</v>
          </cell>
          <cell r="B1917" t="str">
            <v>TUBO PVC ESGOTO PREDIAL DN 75MM, INCLUSIVE CONEXOES - FORNECIMENTO E INSTALACAO</v>
          </cell>
          <cell r="C1917" t="str">
            <v>M</v>
          </cell>
          <cell r="D1917">
            <v>34.29</v>
          </cell>
        </row>
        <row r="1918">
          <cell r="A1918" t="str">
            <v>74165/4</v>
          </cell>
          <cell r="B1918" t="str">
            <v>TUBO PVC ESGOTO PREDIAL DN 100MM, INCLUSIVE CONEXOES - FORNECIMENTO E INSTALACAO</v>
          </cell>
          <cell r="C1918" t="str">
            <v>M</v>
          </cell>
          <cell r="D1918">
            <v>36.68</v>
          </cell>
        </row>
        <row r="1919">
          <cell r="A1919" t="str">
            <v>74168/1</v>
          </cell>
          <cell r="B1919" t="str">
            <v>TUBO PVC ESGOTO SERIE R DN 150MM C/ ANEL DE BORRACHA - FORNECIMENTO E INSTALACAO</v>
          </cell>
          <cell r="C1919" t="str">
            <v>M</v>
          </cell>
          <cell r="D1919">
            <v>65</v>
          </cell>
        </row>
        <row r="1920">
          <cell r="A1920" t="str">
            <v>74168/2</v>
          </cell>
          <cell r="B1920" t="str">
            <v>TUBO PVC ESGOTO SERIE R DN 100MM C/ ANEL DE BORRACHA - FORNECIMENTO E INSTALACAO</v>
          </cell>
          <cell r="C1920" t="str">
            <v>M</v>
          </cell>
          <cell r="D1920">
            <v>35.21</v>
          </cell>
        </row>
        <row r="1921">
          <cell r="A1921" t="str">
            <v>75027/1</v>
          </cell>
          <cell r="B1921" t="str">
            <v>TUBO DE AÇO PRETO 2" SEM COSTURA SCHEDULE 40/NBR 5590, INCLUSIVE CONEXOES - FORNECIMENTO E INSTALACAO</v>
          </cell>
          <cell r="C1921" t="str">
            <v>M</v>
          </cell>
          <cell r="D1921">
            <v>113.02</v>
          </cell>
        </row>
        <row r="1922">
          <cell r="A1922" t="str">
            <v>75027/2</v>
          </cell>
          <cell r="B1922" t="str">
            <v>TUBO DE AÇO PRETO 2.1/2" SEM COSTURA SCHEDULE 40/NBR 5590, INCLUSIVE CONEXOES - FORNECIMENTO E INSTALACAO</v>
          </cell>
          <cell r="C1922" t="str">
            <v>M</v>
          </cell>
          <cell r="D1922">
            <v>124.99</v>
          </cell>
        </row>
        <row r="1923">
          <cell r="A1923" t="str">
            <v>75027/3</v>
          </cell>
          <cell r="B1923" t="str">
            <v>TUBO DE AÇO PRETO 3" SEM COSTURA SCHEDULE 40/NBR 5590, INCLUSIVE CONEXOES - FORNECIMENTO E INSTALACAO</v>
          </cell>
          <cell r="C1923" t="str">
            <v>M</v>
          </cell>
          <cell r="D1923">
            <v>140.05000000000001</v>
          </cell>
        </row>
        <row r="1924">
          <cell r="A1924" t="str">
            <v>75027/4</v>
          </cell>
          <cell r="B1924" t="str">
            <v>TUBO DE AÇO PRETO 4" SEM COSTURA SCHEDULE 40/NBR 5590, INCLUSIVE CONEXOES - FORNECIMENTO E INSTALACAO</v>
          </cell>
          <cell r="C1924" t="str">
            <v>M</v>
          </cell>
          <cell r="D1924">
            <v>199.65</v>
          </cell>
        </row>
        <row r="1925">
          <cell r="A1925" t="str">
            <v>75027/5</v>
          </cell>
          <cell r="B1925" t="str">
            <v>TUBO DE AÇO PRETO 6" SEM COSTURA SCHEDULE 40/NBR 5590, INCLUSIVE CONEXÕES - FORNECIMENTO E INSTALAÇÃO</v>
          </cell>
          <cell r="C1925" t="str">
            <v>M</v>
          </cell>
          <cell r="D1925">
            <v>306.37</v>
          </cell>
        </row>
        <row r="1926">
          <cell r="A1926" t="str">
            <v>75030/1</v>
          </cell>
          <cell r="B1926" t="str">
            <v>TUBO PVC SOLDAVEL AGUA FRIA DN 25MM, INCLUSIVE CONEXOES - FORNECIMENTO E INSTALACAO</v>
          </cell>
          <cell r="C1926" t="str">
            <v>M</v>
          </cell>
          <cell r="D1926">
            <v>13.05</v>
          </cell>
        </row>
        <row r="1927">
          <cell r="A1927" t="str">
            <v>75030/2</v>
          </cell>
          <cell r="B1927" t="str">
            <v>TUBO PVC SOLDAVEL AGUA FRIA DN 32MM, INCLUSIVE CONEXOES - FORNECIMENTO E INSTALACAO</v>
          </cell>
          <cell r="C1927" t="str">
            <v>M</v>
          </cell>
          <cell r="D1927">
            <v>18.649999999999999</v>
          </cell>
        </row>
        <row r="1928">
          <cell r="A1928" t="str">
            <v>75030/3</v>
          </cell>
          <cell r="B1928" t="str">
            <v>TUBO PVC SOLDAVEL AGUA FRIA DN 40MM, INCLUSIVE CONEXOES - FORNECIMENTO E INSTALACAO</v>
          </cell>
          <cell r="C1928" t="str">
            <v>M</v>
          </cell>
          <cell r="D1928">
            <v>22.83</v>
          </cell>
        </row>
        <row r="1929">
          <cell r="A1929" t="str">
            <v>75030/4</v>
          </cell>
          <cell r="B1929" t="str">
            <v>TUBO PVC SOLDAVEL AGUA FRIA DN 50MM, INCLUSIVE CONEXOES - FORNECIMENTO E INSTALACAO</v>
          </cell>
          <cell r="C1929" t="str">
            <v>M</v>
          </cell>
          <cell r="D1929">
            <v>26.22</v>
          </cell>
        </row>
        <row r="1930">
          <cell r="A1930" t="str">
            <v>75030/5</v>
          </cell>
          <cell r="B1930" t="str">
            <v>TUBO PVC SOLDAVEL AGUA FRIA DN 60MM, INCLUSIVE CONEXOES - FORNECIMENTO E INSTALACAO</v>
          </cell>
          <cell r="C1930" t="str">
            <v>M</v>
          </cell>
          <cell r="D1930">
            <v>39.22</v>
          </cell>
        </row>
        <row r="1931">
          <cell r="A1931" t="str">
            <v>75030/6</v>
          </cell>
          <cell r="B1931" t="str">
            <v>TUBO PVC SOLDAVEL AGUA FRIA DN 75MM, INCLUSIVE CONEXOES - FORNECIMENTO E INSTALACAO</v>
          </cell>
          <cell r="C1931" t="str">
            <v>M</v>
          </cell>
          <cell r="D1931">
            <v>54.02</v>
          </cell>
        </row>
        <row r="1932">
          <cell r="A1932" t="str">
            <v>75030/7</v>
          </cell>
          <cell r="B1932" t="str">
            <v>TUBO PVC SOLDAVEL AGUA FRIA DN 85MM, INCLUSIVE CONEXOES - FORNECIMENTO E INSTALACAO</v>
          </cell>
          <cell r="C1932" t="str">
            <v>M</v>
          </cell>
          <cell r="D1932">
            <v>67.36</v>
          </cell>
        </row>
        <row r="1933">
          <cell r="A1933" t="str">
            <v>75030/8</v>
          </cell>
          <cell r="B1933" t="str">
            <v>TUBO PVC SOLDAVEL AGUA FRIA DN 20MM, INCLUSIVE CONEXOES - FORNECIMENTO E INSTALACAO</v>
          </cell>
          <cell r="C1933" t="str">
            <v>M</v>
          </cell>
          <cell r="D1933">
            <v>10.87</v>
          </cell>
        </row>
        <row r="1934">
          <cell r="A1934" t="str">
            <v>75031/1</v>
          </cell>
          <cell r="B1934" t="str">
            <v>TUBO CPVC 15MM - FORNECIMENTO E INSTALACAO</v>
          </cell>
          <cell r="C1934" t="str">
            <v>M</v>
          </cell>
          <cell r="D1934">
            <v>9.4</v>
          </cell>
        </row>
        <row r="1935">
          <cell r="A1935" t="str">
            <v>75031/2</v>
          </cell>
          <cell r="B1935" t="str">
            <v>TUBO CPVC 22MM - FORNECIMENTO E INSTALACAO</v>
          </cell>
          <cell r="C1935" t="str">
            <v>M</v>
          </cell>
          <cell r="D1935">
            <v>15.14</v>
          </cell>
        </row>
        <row r="1936">
          <cell r="A1936" t="str">
            <v>75031/3</v>
          </cell>
          <cell r="B1936" t="str">
            <v>TUBO CPVC 28MM - FORNECIMENTO E INSTALACAO</v>
          </cell>
          <cell r="C1936" t="str">
            <v>M</v>
          </cell>
          <cell r="D1936">
            <v>23.02</v>
          </cell>
        </row>
        <row r="1937">
          <cell r="A1937" t="str">
            <v>75051/1</v>
          </cell>
          <cell r="B1937" t="str">
            <v>TUBO DE PVC SOLDAVEL, SEM CONEXOES 20MM - FORNECIMENTO E INSTALACAO</v>
          </cell>
          <cell r="C1937" t="str">
            <v>M</v>
          </cell>
          <cell r="D1937">
            <v>4.01</v>
          </cell>
        </row>
        <row r="1938">
          <cell r="A1938" t="str">
            <v>75051/2</v>
          </cell>
          <cell r="B1938" t="str">
            <v>TUBO DE PVC SOLDAVEL, SEM CONEXOES 25MM - FORNECIMENTO E INSTALACAO</v>
          </cell>
          <cell r="C1938" t="str">
            <v>M</v>
          </cell>
          <cell r="D1938">
            <v>5.0999999999999996</v>
          </cell>
        </row>
        <row r="1939">
          <cell r="A1939" t="str">
            <v>75051/3</v>
          </cell>
          <cell r="B1939" t="str">
            <v>TUBO DE PVC SOLDAVEL, SEM CONEXOES 32MM - FORNECIMENTO E INSTALACAO</v>
          </cell>
          <cell r="C1939" t="str">
            <v>M</v>
          </cell>
          <cell r="D1939">
            <v>8.4499999999999993</v>
          </cell>
        </row>
        <row r="1940">
          <cell r="A1940" t="str">
            <v>75051/4</v>
          </cell>
          <cell r="B1940" t="str">
            <v>TUBO DE PVC SOLDAVEL, SEM CONEXOES 40MM - FORNECIMENTO E INSTALACAO</v>
          </cell>
          <cell r="C1940" t="str">
            <v>M</v>
          </cell>
          <cell r="D1940">
            <v>12.02</v>
          </cell>
        </row>
        <row r="1941">
          <cell r="A1941" t="str">
            <v>75051/5</v>
          </cell>
          <cell r="B1941" t="str">
            <v>TUBO DE PVC SOLDAVEL, SEM CONEXOES 50MM - FORNECIMENTO E INSTALACAO</v>
          </cell>
          <cell r="C1941" t="str">
            <v>M</v>
          </cell>
          <cell r="D1941">
            <v>14.23</v>
          </cell>
        </row>
        <row r="1942">
          <cell r="A1942" t="str">
            <v>75051/6</v>
          </cell>
          <cell r="B1942" t="str">
            <v>TUBO DE PVC SOLDAVEL, SEM CONEXOES 60MM - FORNECIMENTO E INSTALACAO</v>
          </cell>
          <cell r="C1942" t="str">
            <v>M</v>
          </cell>
          <cell r="D1942">
            <v>23.21</v>
          </cell>
        </row>
        <row r="1943">
          <cell r="A1943" t="str">
            <v>75051/7</v>
          </cell>
          <cell r="B1943" t="str">
            <v>TUBO DE PVC SOLDAVEL, SEM CONEXOES 85MM - FORNECIMENTO E INSTALACAO</v>
          </cell>
          <cell r="C1943" t="str">
            <v>M</v>
          </cell>
          <cell r="D1943">
            <v>44.82</v>
          </cell>
        </row>
        <row r="1944">
          <cell r="A1944">
            <v>83654</v>
          </cell>
          <cell r="B1944" t="str">
            <v>TUBO PVC SOLDAVEL AGUA FRIA DN 110 MM, INCLUSIVE CONEXOES - FORNECIMENTO E INSTALACAO.</v>
          </cell>
          <cell r="C1944" t="str">
            <v>M</v>
          </cell>
          <cell r="D1944">
            <v>79.84</v>
          </cell>
        </row>
        <row r="1945">
          <cell r="A1945">
            <v>83699</v>
          </cell>
          <cell r="B1945" t="str">
            <v>TUBO LEVE PVC RIGIDO D=125MM</v>
          </cell>
          <cell r="C1945" t="str">
            <v>M</v>
          </cell>
          <cell r="D1945">
            <v>20.92</v>
          </cell>
        </row>
        <row r="1946">
          <cell r="A1946">
            <v>83700</v>
          </cell>
          <cell r="B1946" t="str">
            <v>TUBO LEVE PVC RIGIDO D=150MM</v>
          </cell>
          <cell r="C1946" t="str">
            <v>M</v>
          </cell>
          <cell r="D1946">
            <v>23.75</v>
          </cell>
        </row>
        <row r="1947">
          <cell r="A1947">
            <v>83701</v>
          </cell>
          <cell r="B1947" t="str">
            <v>TUBO LEVE PVC RIGIDO D=200MM</v>
          </cell>
          <cell r="C1947" t="str">
            <v>M</v>
          </cell>
          <cell r="D1947">
            <v>27.43</v>
          </cell>
        </row>
        <row r="1948">
          <cell r="A1948">
            <v>83702</v>
          </cell>
          <cell r="B1948" t="str">
            <v>TUBO LEVE PVC RIGIDO D=300MM</v>
          </cell>
          <cell r="C1948" t="str">
            <v>M</v>
          </cell>
          <cell r="D1948">
            <v>40.78</v>
          </cell>
        </row>
        <row r="1949">
          <cell r="A1949">
            <v>83706</v>
          </cell>
          <cell r="B1949" t="str">
            <v>TUBO PVC PONTA/BOLSA C/VIROLA DN=150MM P/ ESGOTO JUNTA C/ ANEL</v>
          </cell>
          <cell r="C1949" t="str">
            <v>M</v>
          </cell>
          <cell r="D1949">
            <v>40.409999999999997</v>
          </cell>
        </row>
        <row r="1950">
          <cell r="A1950">
            <v>83707</v>
          </cell>
          <cell r="B1950" t="str">
            <v>TUBO PVC PONTA/BOLSA C/ VIROLA DN=200MM P/ ESGOTO JUNTA COM ANEL</v>
          </cell>
          <cell r="C1950" t="str">
            <v>M</v>
          </cell>
          <cell r="D1950">
            <v>55.71</v>
          </cell>
        </row>
        <row r="1951">
          <cell r="A1951">
            <v>83727</v>
          </cell>
          <cell r="B1951" t="str">
            <v>ASSENTAMENTO TUBO PVC COM JUNTA SOLDADA - DN 25</v>
          </cell>
          <cell r="C1951" t="str">
            <v>M</v>
          </cell>
          <cell r="D1951">
            <v>1.2</v>
          </cell>
        </row>
        <row r="1952">
          <cell r="A1952">
            <v>85122</v>
          </cell>
          <cell r="B1952" t="str">
            <v>TUBO PVC ESGOTO SERIE R DN 75MM C/ANEL DE BORRACHA - FORNECIMENTO E INSTALACAO</v>
          </cell>
          <cell r="C1952" t="str">
            <v>M</v>
          </cell>
          <cell r="D1952">
            <v>28.22</v>
          </cell>
        </row>
        <row r="1953">
          <cell r="A1953">
            <v>85123</v>
          </cell>
          <cell r="B1953" t="str">
            <v>TUBO PVC PONTA/BOLSA C/ VIROLA DN=100MM P/ ESGOTO JUNTA COM ANEL - FORNECIMENTO E INSTALACAO</v>
          </cell>
          <cell r="C1953" t="str">
            <v>M</v>
          </cell>
          <cell r="D1953">
            <v>22.83</v>
          </cell>
        </row>
        <row r="1954">
          <cell r="A1954">
            <v>72293</v>
          </cell>
          <cell r="B1954" t="str">
            <v>CAP PVC ESGOTO 50MM (TAMPÃO) - FORNECIMENTO E INSTALAÇÃO</v>
          </cell>
          <cell r="C1954" t="str">
            <v>UN</v>
          </cell>
          <cell r="D1954">
            <v>3.22</v>
          </cell>
        </row>
        <row r="1955">
          <cell r="A1955">
            <v>72294</v>
          </cell>
          <cell r="B1955" t="str">
            <v>CAP PVC ESGOTO 75MM (TAMPÃO) - FORNECIMENTO E INSTALAÇÃO</v>
          </cell>
          <cell r="C1955" t="str">
            <v>UN</v>
          </cell>
          <cell r="D1955">
            <v>4.84</v>
          </cell>
        </row>
        <row r="1956">
          <cell r="A1956">
            <v>72295</v>
          </cell>
          <cell r="B1956" t="str">
            <v>CAP PVC ESGOTO 100MM (TAMPÃO) - FORNECIMENTO E INSTALAÇÃO</v>
          </cell>
          <cell r="C1956" t="str">
            <v>UN</v>
          </cell>
          <cell r="D1956">
            <v>6.7</v>
          </cell>
        </row>
        <row r="1957">
          <cell r="A1957">
            <v>72297</v>
          </cell>
          <cell r="B1957" t="str">
            <v>COTOVELO DE AÇO GALVANIZADO 1.1/2" - FORNECIMENTO E INSTALAÇÃO</v>
          </cell>
          <cell r="C1957" t="str">
            <v>UN</v>
          </cell>
          <cell r="D1957">
            <v>31.17</v>
          </cell>
        </row>
        <row r="1958">
          <cell r="A1958">
            <v>72298</v>
          </cell>
          <cell r="B1958" t="str">
            <v>COTOVELO DE AÇO GALVANIZADO 1.1/4" - FORNECIMENTO E INSTALAÇÃO</v>
          </cell>
          <cell r="C1958" t="str">
            <v>UN</v>
          </cell>
          <cell r="D1958">
            <v>25.03</v>
          </cell>
        </row>
        <row r="1959">
          <cell r="A1959">
            <v>72300</v>
          </cell>
          <cell r="B1959" t="str">
            <v>COTOVELO DE AÇO GALVANIZADO 1" - FORNECIMENTO E INSTALAÇÃO</v>
          </cell>
          <cell r="C1959" t="str">
            <v>UN</v>
          </cell>
          <cell r="D1959">
            <v>16.07</v>
          </cell>
        </row>
        <row r="1960">
          <cell r="A1960">
            <v>72301</v>
          </cell>
          <cell r="B1960" t="str">
            <v>COTOVELO DE AÇO GALVANIZADO 1/2" - FORNECIMENTO E INSTALAÇÃO</v>
          </cell>
          <cell r="C1960" t="str">
            <v>UN</v>
          </cell>
          <cell r="D1960">
            <v>12.87</v>
          </cell>
        </row>
        <row r="1961">
          <cell r="A1961">
            <v>72302</v>
          </cell>
          <cell r="B1961" t="str">
            <v>COTOVELO DE AÇO GALVANIZADO 2.1/2"</v>
          </cell>
          <cell r="C1961" t="str">
            <v>UN</v>
          </cell>
          <cell r="D1961">
            <v>66.099999999999994</v>
          </cell>
        </row>
        <row r="1962">
          <cell r="A1962">
            <v>72303</v>
          </cell>
          <cell r="B1962" t="str">
            <v>COTOVELO DE AÇO GALVANIZADO 2"  - FORNECIMENTO E INSTALAÇÃO</v>
          </cell>
          <cell r="C1962" t="str">
            <v>UN</v>
          </cell>
          <cell r="D1962">
            <v>41.2</v>
          </cell>
        </row>
        <row r="1963">
          <cell r="A1963">
            <v>72304</v>
          </cell>
          <cell r="B1963" t="str">
            <v>COTOVELO DE AÇO GALVANIZADO 3" - FORNECIMENTO E INSTALAÇÃO</v>
          </cell>
          <cell r="C1963" t="str">
            <v>UN</v>
          </cell>
          <cell r="D1963">
            <v>84.86</v>
          </cell>
        </row>
        <row r="1964">
          <cell r="A1964">
            <v>72305</v>
          </cell>
          <cell r="B1964" t="str">
            <v>COTOVELO DE AÇO GALVANIZADO 3/4" - FORNECIMENTO E INSTALAÇÃO</v>
          </cell>
          <cell r="C1964" t="str">
            <v>UN</v>
          </cell>
          <cell r="D1964">
            <v>13.6</v>
          </cell>
        </row>
        <row r="1965">
          <cell r="A1965">
            <v>72306</v>
          </cell>
          <cell r="B1965" t="str">
            <v>COTOVELO DE AÇO GALVANIZADO 4" - FORNECIMENTO E INSTALAÇÃO</v>
          </cell>
          <cell r="C1965" t="str">
            <v>UN</v>
          </cell>
          <cell r="D1965">
            <v>139.13</v>
          </cell>
        </row>
        <row r="1966">
          <cell r="A1966">
            <v>72307</v>
          </cell>
          <cell r="B1966" t="str">
            <v>COTOVELO DE AÇO GALVANIZADO 5" - FORNECIMENTO E INSTALAÇÃO</v>
          </cell>
          <cell r="C1966" t="str">
            <v>UN</v>
          </cell>
          <cell r="D1966">
            <v>322.12</v>
          </cell>
        </row>
        <row r="1967">
          <cell r="A1967">
            <v>72313</v>
          </cell>
          <cell r="B1967" t="str">
            <v>COTOVELO DE AÇO GALVANIZADO 6" - FORNECIMENTO E INSTALAÇÃO</v>
          </cell>
          <cell r="C1967" t="str">
            <v>UN</v>
          </cell>
          <cell r="D1967">
            <v>398.76</v>
          </cell>
        </row>
        <row r="1968">
          <cell r="A1968">
            <v>72314</v>
          </cell>
          <cell r="B1968" t="str">
            <v>COTOVELO DE COBRE 42MM, LIGAÇÃO SOLDADA - FORNECIMENTO E INSTALAÇÃO</v>
          </cell>
          <cell r="C1968" t="str">
            <v>UN</v>
          </cell>
          <cell r="D1968">
            <v>46.21</v>
          </cell>
        </row>
        <row r="1969">
          <cell r="A1969">
            <v>72317</v>
          </cell>
          <cell r="B1969" t="str">
            <v>COTOVELO DE COBRE 54MM, LIGAÇÃO SOLDADA - FORNECIMENTO E INSTALAÇÃO</v>
          </cell>
          <cell r="C1969" t="str">
            <v>UN</v>
          </cell>
          <cell r="D1969">
            <v>65.63</v>
          </cell>
        </row>
        <row r="1970">
          <cell r="A1970">
            <v>72318</v>
          </cell>
          <cell r="B1970" t="str">
            <v>COTOVELO DE COBRE 66MM, LIGAÇÃO SOLDADA - FORNECIMENTO E INSTALAÇÃO</v>
          </cell>
          <cell r="C1970" t="str">
            <v>UN</v>
          </cell>
          <cell r="D1970">
            <v>182.06</v>
          </cell>
        </row>
        <row r="1971">
          <cell r="A1971">
            <v>72320</v>
          </cell>
          <cell r="B1971" t="str">
            <v>COTOVELO DE COBRE 79MM, LIGAÇÃO SOLDADA - FORNECIMENTO E INSTALAÇÃO</v>
          </cell>
          <cell r="C1971" t="str">
            <v>UN</v>
          </cell>
          <cell r="D1971">
            <v>216.45</v>
          </cell>
        </row>
        <row r="1972">
          <cell r="A1972">
            <v>72431</v>
          </cell>
          <cell r="B1972" t="str">
            <v>TE DE PVC ROSQUEAVEL AGUA FRIA 1.1/2" - FORNECIMENTO E INSTALACAO</v>
          </cell>
          <cell r="C1972" t="str">
            <v>UN</v>
          </cell>
          <cell r="D1972">
            <v>19.36</v>
          </cell>
        </row>
        <row r="1973">
          <cell r="A1973">
            <v>72432</v>
          </cell>
          <cell r="B1973" t="str">
            <v>TE DE PVC ROSQUEAVEL AGUA FRIA 1.1/4" - FORNECIMENTO E INSTALACAO</v>
          </cell>
          <cell r="C1973" t="str">
            <v>UN</v>
          </cell>
          <cell r="D1973">
            <v>17.8</v>
          </cell>
        </row>
        <row r="1974">
          <cell r="A1974">
            <v>72433</v>
          </cell>
          <cell r="B1974" t="str">
            <v>TE DE PVC ROSQUEAVEL AGUA FRIA 1" - FORNECIMENTO E INSTALACAO</v>
          </cell>
          <cell r="C1974" t="str">
            <v>UN</v>
          </cell>
          <cell r="D1974">
            <v>11.54</v>
          </cell>
        </row>
        <row r="1975">
          <cell r="A1975">
            <v>72434</v>
          </cell>
          <cell r="B1975" t="str">
            <v>TE DE PVC ROSQUEAVEL AGUA FRIA 1/2" - FORNECIMENTO E INSTALACAO</v>
          </cell>
          <cell r="C1975" t="str">
            <v>UN</v>
          </cell>
          <cell r="D1975">
            <v>5.66</v>
          </cell>
        </row>
        <row r="1976">
          <cell r="A1976">
            <v>72435</v>
          </cell>
          <cell r="B1976" t="str">
            <v>TE DE PVC ROSQUEAVEL AGUA FRIA 2" - FORNECIMENTO E INSTALACAO</v>
          </cell>
          <cell r="C1976" t="str">
            <v>UN</v>
          </cell>
          <cell r="D1976">
            <v>30.29</v>
          </cell>
        </row>
        <row r="1977">
          <cell r="A1977">
            <v>72436</v>
          </cell>
          <cell r="B1977" t="str">
            <v>TE DE PVC ROSQUEAVEL AGUA FRIA 3/4" - FORNECIMENTO E INSTALACAO</v>
          </cell>
          <cell r="C1977" t="str">
            <v>UN</v>
          </cell>
          <cell r="D1977">
            <v>6.41</v>
          </cell>
        </row>
        <row r="1978">
          <cell r="A1978">
            <v>72437</v>
          </cell>
          <cell r="B1978" t="str">
            <v>TE DE PVC SOLDAVEL AGUA FRIA 110MM - FORNECIMENTO E INSTALACAO</v>
          </cell>
          <cell r="C1978" t="str">
            <v>UN</v>
          </cell>
          <cell r="D1978">
            <v>141.88999999999999</v>
          </cell>
        </row>
        <row r="1979">
          <cell r="A1979">
            <v>72438</v>
          </cell>
          <cell r="B1979" t="str">
            <v>TE DE PVC SOLDAVEL AGUA FRIA 20MM - FORNECIMENTO E INSTALACAO</v>
          </cell>
          <cell r="C1979" t="str">
            <v>UN</v>
          </cell>
          <cell r="D1979">
            <v>4.92</v>
          </cell>
        </row>
        <row r="1980">
          <cell r="A1980">
            <v>72439</v>
          </cell>
          <cell r="B1980" t="str">
            <v>TE DE PVC SOLDAVEL AGUA FRIA 25MM - FORNECIMENTO E INSTALACAO</v>
          </cell>
          <cell r="C1980" t="str">
            <v>UN</v>
          </cell>
          <cell r="D1980">
            <v>5.36</v>
          </cell>
        </row>
        <row r="1981">
          <cell r="A1981">
            <v>72440</v>
          </cell>
          <cell r="B1981" t="str">
            <v>TE DE PVC SOLDAVEL AGUA FRIA 32MM - FORNECIMENTO E INSTALACAO</v>
          </cell>
          <cell r="C1981" t="str">
            <v>UN</v>
          </cell>
          <cell r="D1981">
            <v>7.42</v>
          </cell>
        </row>
        <row r="1982">
          <cell r="A1982">
            <v>72441</v>
          </cell>
          <cell r="B1982" t="str">
            <v>TE DE PVC SOLDAVEL AGUA FRIA 40MM - FORNECIMENTO E INSTALACAO</v>
          </cell>
          <cell r="C1982" t="str">
            <v>UN</v>
          </cell>
          <cell r="D1982">
            <v>12.6</v>
          </cell>
        </row>
        <row r="1983">
          <cell r="A1983">
            <v>72442</v>
          </cell>
          <cell r="B1983" t="str">
            <v>TE DE PVC SOLDAVEL AGUA FRIA 50MM - FORNECIMENTO E INSTALACAO</v>
          </cell>
          <cell r="C1983" t="str">
            <v>UN</v>
          </cell>
          <cell r="D1983">
            <v>14.06</v>
          </cell>
        </row>
        <row r="1984">
          <cell r="A1984">
            <v>72443</v>
          </cell>
          <cell r="B1984" t="str">
            <v>TE DE PVC SOLDAVEL AGUA FRIA 60MM - FORNECIMENTO E INSTALACAO</v>
          </cell>
          <cell r="C1984" t="str">
            <v>UN</v>
          </cell>
          <cell r="D1984">
            <v>35.090000000000003</v>
          </cell>
        </row>
        <row r="1985">
          <cell r="A1985">
            <v>72444</v>
          </cell>
          <cell r="B1985" t="str">
            <v>TE DE PVC SOLDAVEL AGUA FRIA 75MM - FORNECIMENTO E INSTALACAO</v>
          </cell>
          <cell r="C1985" t="str">
            <v>UN</v>
          </cell>
          <cell r="D1985">
            <v>55.02</v>
          </cell>
        </row>
        <row r="1986">
          <cell r="A1986">
            <v>72445</v>
          </cell>
          <cell r="B1986" t="str">
            <v>TE DE PVC SOLDAVEL AGUA FRIA 85MM - FORNECIMENTO E INSTALACAO</v>
          </cell>
          <cell r="C1986" t="str">
            <v>UN</v>
          </cell>
          <cell r="D1986">
            <v>73.540000000000006</v>
          </cell>
        </row>
        <row r="1987">
          <cell r="A1987">
            <v>72446</v>
          </cell>
          <cell r="B1987" t="str">
            <v>TE REDUÇÃO PVC ROSQUEAVEL AGUA FRIA 1.1/2X3/4" - FORNECIMENTO E INSTALACAO</v>
          </cell>
          <cell r="C1987" t="str">
            <v>UN</v>
          </cell>
          <cell r="D1987">
            <v>16.920000000000002</v>
          </cell>
        </row>
        <row r="1988">
          <cell r="A1988">
            <v>72447</v>
          </cell>
          <cell r="B1988" t="str">
            <v>TE REDUÇÃO PVC ROSQUEAVEL AGUA FRIA 1X3/4" - FORNECIMENTO E INSTALACAO</v>
          </cell>
          <cell r="C1988" t="str">
            <v>UN</v>
          </cell>
          <cell r="D1988">
            <v>10.86</v>
          </cell>
        </row>
        <row r="1989">
          <cell r="A1989">
            <v>72448</v>
          </cell>
          <cell r="B1989" t="str">
            <v>TE REDUÇÃO PVC ROSQUEAVEL AGUA FRIA 3/4X1/2" - FORNECIMENTO E INSTALACAO</v>
          </cell>
          <cell r="C1989" t="str">
            <v>UN</v>
          </cell>
          <cell r="D1989">
            <v>8.17</v>
          </cell>
        </row>
        <row r="1990">
          <cell r="A1990">
            <v>72449</v>
          </cell>
          <cell r="B1990" t="str">
            <v>TE REDUÇÃO PVC SOLDAVEL AGUA FRIA 110X60MM - FORNECIMENTO E INSTALACAO</v>
          </cell>
          <cell r="C1990" t="str">
            <v>UN</v>
          </cell>
          <cell r="D1990">
            <v>95.55</v>
          </cell>
        </row>
        <row r="1991">
          <cell r="A1991">
            <v>72450</v>
          </cell>
          <cell r="B1991" t="str">
            <v>TE REDUÇÃO PVC SOLDAVEL AGUA FRIA 25X20MM - FORNECIMENTO E INSTALACAO</v>
          </cell>
          <cell r="C1991" t="str">
            <v>UN</v>
          </cell>
          <cell r="D1991">
            <v>6.52</v>
          </cell>
        </row>
        <row r="1992">
          <cell r="A1992">
            <v>72451</v>
          </cell>
          <cell r="B1992" t="str">
            <v>TE REDUÇÃO PVC SOLDAVEL AGUA FRIA 32X25MM - FORNECIMENTO E INSTALACAO</v>
          </cell>
          <cell r="C1992" t="str">
            <v>UN</v>
          </cell>
          <cell r="D1992">
            <v>9.5299999999999994</v>
          </cell>
        </row>
        <row r="1993">
          <cell r="A1993">
            <v>72452</v>
          </cell>
          <cell r="B1993" t="str">
            <v>TE REDUÇÃO PVC SOLDAVEL AGUA FRIA 40X32MM - FORNECIMENTO E INSTALACAO</v>
          </cell>
          <cell r="C1993" t="str">
            <v>UN</v>
          </cell>
          <cell r="D1993">
            <v>11.4</v>
          </cell>
        </row>
        <row r="1994">
          <cell r="A1994">
            <v>72453</v>
          </cell>
          <cell r="B1994" t="str">
            <v>TE REDUÇÃO PVC SOLDAVEL AGUA FRIA 50X20MM - FORNECIMENTO E INSTALACAO</v>
          </cell>
          <cell r="C1994" t="str">
            <v>UN</v>
          </cell>
          <cell r="D1994">
            <v>14.38</v>
          </cell>
        </row>
        <row r="1995">
          <cell r="A1995">
            <v>72454</v>
          </cell>
          <cell r="B1995" t="str">
            <v>TE REDUÇÃO PVC SOLDAVEL AGUA FRIA 50X25MM - FORNECIMENTO E INSTALACAO</v>
          </cell>
          <cell r="C1995" t="str">
            <v>UN</v>
          </cell>
          <cell r="D1995">
            <v>14.48</v>
          </cell>
        </row>
        <row r="1996">
          <cell r="A1996">
            <v>72455</v>
          </cell>
          <cell r="B1996" t="str">
            <v>TE REDUÇÃO PVC SOLDAVEL AGUA FRIA 50X32MM - FORNECIMENTO E INSTALACAO</v>
          </cell>
          <cell r="C1996" t="str">
            <v>UN</v>
          </cell>
          <cell r="D1996">
            <v>18.86</v>
          </cell>
        </row>
        <row r="1997">
          <cell r="A1997">
            <v>72456</v>
          </cell>
          <cell r="B1997" t="str">
            <v>TE REDUÇÃO PVC SOLDAVEL AGUA FRIA 50X40MM - FORNECIMENTO E INSTALACAO</v>
          </cell>
          <cell r="C1997" t="str">
            <v>UN</v>
          </cell>
          <cell r="D1997">
            <v>22.14</v>
          </cell>
        </row>
        <row r="1998">
          <cell r="A1998">
            <v>72457</v>
          </cell>
          <cell r="B1998" t="str">
            <v>TE REDUCAO PVC SOLDAVEL AGUA FRIA 75X50MM - FORNECIMENTO E INSTALACAO</v>
          </cell>
          <cell r="C1998" t="str">
            <v>UN</v>
          </cell>
          <cell r="D1998">
            <v>40.659999999999997</v>
          </cell>
        </row>
        <row r="1999">
          <cell r="A1999">
            <v>72458</v>
          </cell>
          <cell r="B1999" t="str">
            <v>TE REDUCAO PVC SOLDAVEL AGUA FRIA 85X60MM - FORNECIMENTO E INSTALACAO</v>
          </cell>
          <cell r="C1999" t="str">
            <v>UN</v>
          </cell>
          <cell r="D1999">
            <v>77.95</v>
          </cell>
        </row>
        <row r="2000">
          <cell r="A2000">
            <v>72459</v>
          </cell>
          <cell r="B2000" t="str">
            <v>TE SANITARIO 100X100MM, JUNTA SOLDADA - FORNECIMENTO E INSTALACAO</v>
          </cell>
          <cell r="C2000" t="str">
            <v>UN</v>
          </cell>
          <cell r="D2000">
            <v>25.75</v>
          </cell>
        </row>
        <row r="2001">
          <cell r="A2001">
            <v>72460</v>
          </cell>
          <cell r="B2001" t="str">
            <v>TE SANITARIO 100X100MM, COM ANEIS - FORNECIMENTO E INSTALACAO</v>
          </cell>
          <cell r="C2001" t="str">
            <v>UN</v>
          </cell>
          <cell r="D2001">
            <v>30.08</v>
          </cell>
        </row>
        <row r="2002">
          <cell r="A2002">
            <v>72461</v>
          </cell>
          <cell r="B2002" t="str">
            <v>TE SANITARIO 100X50MM, COM ANÉIS - FORNECIMENTO E INSTALACAO</v>
          </cell>
          <cell r="C2002" t="str">
            <v>UN</v>
          </cell>
          <cell r="D2002">
            <v>26.67</v>
          </cell>
        </row>
        <row r="2003">
          <cell r="A2003">
            <v>72462</v>
          </cell>
          <cell r="B2003" t="str">
            <v>TE SANITARIO 100X75MM, COM ANÉIS - FORNECIMENTO E INSTALACAO</v>
          </cell>
          <cell r="C2003" t="str">
            <v>UN</v>
          </cell>
          <cell r="D2003">
            <v>27.05</v>
          </cell>
        </row>
        <row r="2004">
          <cell r="A2004">
            <v>72463</v>
          </cell>
          <cell r="B2004" t="str">
            <v>TE SANITARIO 50X50MM, JUNTA SOLDADA - FORNECIMENTO E INSTALACAO</v>
          </cell>
          <cell r="C2004" t="str">
            <v>UN</v>
          </cell>
          <cell r="D2004">
            <v>12.94</v>
          </cell>
        </row>
        <row r="2005">
          <cell r="A2005">
            <v>72464</v>
          </cell>
          <cell r="B2005" t="str">
            <v>TE SANITARIO 50X50MM, COM ANÉIS - FORNECIMENTO E INSTALACAO</v>
          </cell>
          <cell r="C2005" t="str">
            <v>UN</v>
          </cell>
          <cell r="D2005">
            <v>15.25</v>
          </cell>
        </row>
        <row r="2006">
          <cell r="A2006">
            <v>72465</v>
          </cell>
          <cell r="B2006" t="str">
            <v>TE SANITARIO 75X50MM, COM ANÉIS - FORNECIMENTO E INSTALACAO</v>
          </cell>
          <cell r="C2006" t="str">
            <v>UN</v>
          </cell>
          <cell r="D2006">
            <v>21.38</v>
          </cell>
        </row>
        <row r="2007">
          <cell r="A2007">
            <v>72466</v>
          </cell>
          <cell r="B2007" t="str">
            <v>TE SANITARIO 75X75MM, JUNTA SOLDADA - FORNECIMENTO E INSTALACAO</v>
          </cell>
          <cell r="C2007" t="str">
            <v>UN</v>
          </cell>
          <cell r="D2007">
            <v>23.13</v>
          </cell>
        </row>
        <row r="2008">
          <cell r="A2008">
            <v>72467</v>
          </cell>
          <cell r="B2008" t="str">
            <v>TE SANITARIO 75X75MM, COM ANEIS - FORNECIMENTO E INSTALACAO</v>
          </cell>
          <cell r="C2008" t="str">
            <v>UN</v>
          </cell>
          <cell r="D2008">
            <v>27.85</v>
          </cell>
        </row>
        <row r="2009">
          <cell r="A2009">
            <v>72474</v>
          </cell>
          <cell r="B2009" t="str">
            <v>UNIAO DE ACO GALVANIZADO 1.1/2" - FORNECIMENTO E INSTALACAO</v>
          </cell>
          <cell r="C2009" t="str">
            <v>UN</v>
          </cell>
          <cell r="D2009">
            <v>51.12</v>
          </cell>
        </row>
        <row r="2010">
          <cell r="A2010">
            <v>72475</v>
          </cell>
          <cell r="B2010" t="str">
            <v>UNIAO DE ACO GALVANIZADO 1.1/4" - FORNECIMENTO E INSTALACAO</v>
          </cell>
          <cell r="C2010" t="str">
            <v>UN</v>
          </cell>
          <cell r="D2010">
            <v>41.06</v>
          </cell>
        </row>
        <row r="2011">
          <cell r="A2011">
            <v>72476</v>
          </cell>
          <cell r="B2011" t="str">
            <v>UNIAO DE ACO GALVANIZADO 1" - FORNECIMENTO E INSTALACAO</v>
          </cell>
          <cell r="C2011" t="str">
            <v>UN</v>
          </cell>
          <cell r="D2011">
            <v>29.43</v>
          </cell>
        </row>
        <row r="2012">
          <cell r="A2012">
            <v>72477</v>
          </cell>
          <cell r="B2012" t="str">
            <v>UNIAO DE ACO GALVANIZADO 1/2" - FORNECIMENTO E INSTALACAO</v>
          </cell>
          <cell r="C2012" t="str">
            <v>UN</v>
          </cell>
          <cell r="D2012">
            <v>20.87</v>
          </cell>
        </row>
        <row r="2013">
          <cell r="A2013">
            <v>72478</v>
          </cell>
          <cell r="B2013" t="str">
            <v>UNIAO DE ACO GALVANIZADO 2.1/2" - FORNECIMENTO E INSTALACAO</v>
          </cell>
          <cell r="C2013" t="str">
            <v>UN</v>
          </cell>
          <cell r="D2013">
            <v>99.83</v>
          </cell>
        </row>
        <row r="2014">
          <cell r="A2014">
            <v>72479</v>
          </cell>
          <cell r="B2014" t="str">
            <v>UNIAO DE ACO GALVANIZADO 2" - FORNECIMENTO E INSTALACAO</v>
          </cell>
          <cell r="C2014" t="str">
            <v>UN</v>
          </cell>
          <cell r="D2014">
            <v>67.099999999999994</v>
          </cell>
        </row>
        <row r="2015">
          <cell r="A2015">
            <v>72480</v>
          </cell>
          <cell r="B2015" t="str">
            <v>UNIAO DE ACO GALVANIZADO 3" - FORNECIMENTO E INSTALACAO</v>
          </cell>
          <cell r="C2015" t="str">
            <v>UN</v>
          </cell>
          <cell r="D2015">
            <v>144.05000000000001</v>
          </cell>
        </row>
        <row r="2016">
          <cell r="A2016">
            <v>72481</v>
          </cell>
          <cell r="B2016" t="str">
            <v>UNIAO DE ACO GALVANIZADO 3/4" - FORNECIMENTO E INSTALACAO</v>
          </cell>
          <cell r="C2016" t="str">
            <v>UN</v>
          </cell>
          <cell r="D2016">
            <v>26.5</v>
          </cell>
        </row>
        <row r="2017">
          <cell r="A2017">
            <v>72482</v>
          </cell>
          <cell r="B2017" t="str">
            <v>UNIAO DE ACO GALVANIZADO 4" - FORNECIMENTO E INSTALACAO</v>
          </cell>
          <cell r="C2017" t="str">
            <v>UN</v>
          </cell>
          <cell r="D2017">
            <v>190.75</v>
          </cell>
        </row>
        <row r="2018">
          <cell r="A2018">
            <v>72539</v>
          </cell>
          <cell r="B2018" t="str">
            <v>JOELHO EM PVC, 90º, PARA ESGOTO PREDIAL, 100X50MM, COM VISITA - FORNECIMENTO E INSTALACAO</v>
          </cell>
          <cell r="C2018" t="str">
            <v>UN</v>
          </cell>
          <cell r="D2018">
            <v>18.64</v>
          </cell>
        </row>
        <row r="2019">
          <cell r="A2019">
            <v>72540</v>
          </cell>
          <cell r="B2019" t="str">
            <v>JOELHO EM PVC, 90º, SERIE R, PARA ESGOTO PREDIAL, 100X75MM, COM VISITA - FORNECIMENTO E INSTALACAO</v>
          </cell>
          <cell r="C2019" t="str">
            <v>UN</v>
          </cell>
          <cell r="D2019">
            <v>39.909999999999997</v>
          </cell>
        </row>
        <row r="2020">
          <cell r="A2020">
            <v>72541</v>
          </cell>
          <cell r="B2020" t="str">
            <v>CURVA PVC CURTA 90º ESGOTO 100MM - FORNECIMENTO E INSTALACAO</v>
          </cell>
          <cell r="C2020" t="str">
            <v>UN</v>
          </cell>
          <cell r="D2020">
            <v>20.8</v>
          </cell>
        </row>
        <row r="2021">
          <cell r="A2021">
            <v>72542</v>
          </cell>
          <cell r="B2021" t="str">
            <v>CURVA PVC LONGA 90º ESGOTO 100MM - FORNECIMENTO E INSTALACAO</v>
          </cell>
          <cell r="C2021" t="str">
            <v>UN</v>
          </cell>
          <cell r="D2021">
            <v>33.53</v>
          </cell>
        </row>
        <row r="2022">
          <cell r="A2022">
            <v>72543</v>
          </cell>
          <cell r="B2022" t="str">
            <v>CURVA PVC LONGA 45º ESGOTO 100MM - FORNECIMENTO E INSTALACAO</v>
          </cell>
          <cell r="C2022" t="str">
            <v>UN</v>
          </cell>
          <cell r="D2022">
            <v>34.03</v>
          </cell>
        </row>
        <row r="2023">
          <cell r="A2023">
            <v>72544</v>
          </cell>
          <cell r="B2023" t="str">
            <v>CURVA PVC CURTA 90º ESGOTO 50MM - FORNECIMENTO E INSTALACAO</v>
          </cell>
          <cell r="C2023" t="str">
            <v>UN</v>
          </cell>
          <cell r="D2023">
            <v>10.85</v>
          </cell>
        </row>
        <row r="2024">
          <cell r="A2024">
            <v>72545</v>
          </cell>
          <cell r="B2024" t="str">
            <v>CURVA PVC LONGA 90º ESGOTO 50MM - FORNECIMENTO E INSTALACAO</v>
          </cell>
          <cell r="C2024" t="str">
            <v>UN</v>
          </cell>
          <cell r="D2024">
            <v>9.23</v>
          </cell>
        </row>
        <row r="2025">
          <cell r="A2025">
            <v>72546</v>
          </cell>
          <cell r="B2025" t="str">
            <v>CURVA PVC LONGA 45º ESGOTO 50MM - FORNECIMENTO E INSTALACAO</v>
          </cell>
          <cell r="C2025" t="str">
            <v>UN</v>
          </cell>
          <cell r="D2025">
            <v>15.39</v>
          </cell>
        </row>
        <row r="2026">
          <cell r="A2026">
            <v>72547</v>
          </cell>
          <cell r="B2026" t="str">
            <v>CURVA PVC CURTA 90º ESGOTO 40MM - FORNECIMENTO E INSTALACAO</v>
          </cell>
          <cell r="C2026" t="str">
            <v>UN</v>
          </cell>
          <cell r="D2026">
            <v>5.52</v>
          </cell>
        </row>
        <row r="2027">
          <cell r="A2027">
            <v>72548</v>
          </cell>
          <cell r="B2027" t="str">
            <v>CURVA PVC LONGA 90º ESGOTO 40MM - FORNECIMENTO E INSTALACAO</v>
          </cell>
          <cell r="C2027" t="str">
            <v>UN</v>
          </cell>
          <cell r="D2027">
            <v>6.12</v>
          </cell>
        </row>
        <row r="2028">
          <cell r="A2028">
            <v>72550</v>
          </cell>
          <cell r="B2028" t="str">
            <v>CURVA PVC CURTA 90º ESGOTO 75MM - FORNECIMENTO E INSTALACAO</v>
          </cell>
          <cell r="C2028" t="str">
            <v>UN</v>
          </cell>
          <cell r="D2028">
            <v>18.11</v>
          </cell>
        </row>
        <row r="2029">
          <cell r="A2029">
            <v>72551</v>
          </cell>
          <cell r="B2029" t="str">
            <v>CURVA PVC LONGA 90º ESGOTO 75MM - FORNECIMENTO E INSTALACAO</v>
          </cell>
          <cell r="C2029" t="str">
            <v>UN</v>
          </cell>
          <cell r="D2029">
            <v>21.49</v>
          </cell>
        </row>
        <row r="2030">
          <cell r="A2030">
            <v>72552</v>
          </cell>
          <cell r="B2030" t="str">
            <v>CURVA PVC LONGA 45º ESGOTO 75MM - FORNECIMENTO E INSTALACAO</v>
          </cell>
          <cell r="C2030" t="str">
            <v>UN</v>
          </cell>
          <cell r="D2030">
            <v>30.89</v>
          </cell>
        </row>
        <row r="2031">
          <cell r="A2031">
            <v>72556</v>
          </cell>
          <cell r="B2031" t="str">
            <v>JOELHO PVC 90º ESGOTO 100MM - FORNECIMENTO E INSTALACAO</v>
          </cell>
          <cell r="C2031" t="str">
            <v>UN</v>
          </cell>
          <cell r="D2031">
            <v>17.57</v>
          </cell>
        </row>
        <row r="2032">
          <cell r="A2032">
            <v>72557</v>
          </cell>
          <cell r="B2032" t="str">
            <v>JOELHO PVC 45º ESGOTO 100MM - FORNECIMENTO E INSTALACAO</v>
          </cell>
          <cell r="C2032" t="str">
            <v>UN</v>
          </cell>
          <cell r="D2032">
            <v>17.12</v>
          </cell>
        </row>
        <row r="2033">
          <cell r="A2033">
            <v>72558</v>
          </cell>
          <cell r="B2033" t="str">
            <v>JOELHO PVC 90º ESGOTO 40MM - FORNECIMENTO E INSTALACAO</v>
          </cell>
          <cell r="C2033" t="str">
            <v>UN</v>
          </cell>
          <cell r="D2033">
            <v>7.27</v>
          </cell>
        </row>
        <row r="2034">
          <cell r="A2034">
            <v>72559</v>
          </cell>
          <cell r="B2034" t="str">
            <v>JOELHO PVC 45º ESGOTO 40MM - FORNECIMENTO E INSTALACAO</v>
          </cell>
          <cell r="C2034" t="str">
            <v>UN</v>
          </cell>
          <cell r="D2034">
            <v>7.47</v>
          </cell>
        </row>
        <row r="2035">
          <cell r="A2035">
            <v>72560</v>
          </cell>
          <cell r="B2035" t="str">
            <v>JOELHO PVC 90º ESGOTO 50MM - FORNECIMENTO E INSTALACAO</v>
          </cell>
          <cell r="C2035" t="str">
            <v>UN</v>
          </cell>
          <cell r="D2035">
            <v>8.58</v>
          </cell>
        </row>
        <row r="2036">
          <cell r="A2036">
            <v>72561</v>
          </cell>
          <cell r="B2036" t="str">
            <v>JOELHO PVC 45º ESGOTO 50MM - FORNECIMENTO E INSTALACAO</v>
          </cell>
          <cell r="C2036" t="str">
            <v>UN</v>
          </cell>
          <cell r="D2036">
            <v>9.08</v>
          </cell>
        </row>
        <row r="2037">
          <cell r="A2037">
            <v>72562</v>
          </cell>
          <cell r="B2037" t="str">
            <v>JOELHO PVC 90º ESGOTO 75MM - FORNECIMENTO E INSTALACAO</v>
          </cell>
          <cell r="C2037" t="str">
            <v>UN</v>
          </cell>
          <cell r="D2037">
            <v>13.53</v>
          </cell>
        </row>
        <row r="2038">
          <cell r="A2038">
            <v>72563</v>
          </cell>
          <cell r="B2038" t="str">
            <v>JOELHO PVC SOLDAVEL 90º AGUA FRIA 110MM - FORNECIMENTO E INSTALACAO</v>
          </cell>
          <cell r="C2038" t="str">
            <v>UN</v>
          </cell>
          <cell r="D2038">
            <v>155.32</v>
          </cell>
        </row>
        <row r="2039">
          <cell r="A2039">
            <v>72564</v>
          </cell>
          <cell r="B2039" t="str">
            <v>JOELHO PVC 45º ESGOTO 75MM - FORNECIMENTO E INSTALACAO</v>
          </cell>
          <cell r="C2039" t="str">
            <v>UN</v>
          </cell>
          <cell r="D2039">
            <v>14.18</v>
          </cell>
        </row>
        <row r="2040">
          <cell r="A2040">
            <v>72570</v>
          </cell>
          <cell r="B2040" t="str">
            <v>JOELHO PVC SOLDAVEL 45º AGUA FRIA 110MM - FORNECIMENTO E INSTALACAO</v>
          </cell>
          <cell r="C2040" t="str">
            <v>UN</v>
          </cell>
          <cell r="D2040">
            <v>142.91999999999999</v>
          </cell>
        </row>
        <row r="2041">
          <cell r="A2041">
            <v>72571</v>
          </cell>
          <cell r="B2041" t="str">
            <v>JOELHO PVC SOLDAVEL 90º AGUA FRIA 20MM - FORNECIMENTO E INSTALACAO</v>
          </cell>
          <cell r="C2041" t="str">
            <v>UN</v>
          </cell>
          <cell r="D2041">
            <v>4.43</v>
          </cell>
        </row>
        <row r="2042">
          <cell r="A2042">
            <v>72572</v>
          </cell>
          <cell r="B2042" t="str">
            <v>JOELHO PVC SOLDAVEL 45º AGUA FRIA 20MM - FORNECIMENTO E INSTALACAO</v>
          </cell>
          <cell r="C2042" t="str">
            <v>UN</v>
          </cell>
          <cell r="D2042">
            <v>4.58</v>
          </cell>
        </row>
        <row r="2043">
          <cell r="A2043">
            <v>72573</v>
          </cell>
          <cell r="B2043" t="str">
            <v>JOELHO PVC SOLDAVEL 90º AGUA FRIA 25MM - FORNECIMENTO E INSTALACAO</v>
          </cell>
          <cell r="C2043" t="str">
            <v>UN</v>
          </cell>
          <cell r="D2043">
            <v>4.82</v>
          </cell>
        </row>
        <row r="2044">
          <cell r="A2044">
            <v>72574</v>
          </cell>
          <cell r="B2044" t="str">
            <v>JOELHO PVC SOLDAVEL 45º AGUA FRIA 25MM - FORNECIMENTO E INSTALACAO</v>
          </cell>
          <cell r="C2044" t="str">
            <v>UN</v>
          </cell>
          <cell r="D2044">
            <v>5.37</v>
          </cell>
        </row>
        <row r="2045">
          <cell r="A2045">
            <v>72575</v>
          </cell>
          <cell r="B2045" t="str">
            <v>JOELHO PVC SOLDAVEL 90º AGUA FRIA 32MM - FORNECIMENTO E INSTALACAO</v>
          </cell>
          <cell r="C2045" t="str">
            <v>UN</v>
          </cell>
          <cell r="D2045">
            <v>5.71</v>
          </cell>
        </row>
        <row r="2046">
          <cell r="A2046">
            <v>72576</v>
          </cell>
          <cell r="B2046" t="str">
            <v>JOELHO PVC SOLDAVEL 45º AGUA FRIA 32MM - FORNECIMENTO E INSTALACAO</v>
          </cell>
          <cell r="C2046" t="str">
            <v>UN</v>
          </cell>
          <cell r="D2046">
            <v>6.96</v>
          </cell>
        </row>
        <row r="2047">
          <cell r="A2047">
            <v>72577</v>
          </cell>
          <cell r="B2047" t="str">
            <v>JOELHO PVC SOLDAVEL 90º AGUA FRIA 40MM - FORNECIMENTO E INSTALACAO</v>
          </cell>
          <cell r="C2047" t="str">
            <v>UN</v>
          </cell>
          <cell r="D2047">
            <v>8.86</v>
          </cell>
        </row>
        <row r="2048">
          <cell r="A2048">
            <v>72578</v>
          </cell>
          <cell r="B2048" t="str">
            <v>JOELHO PVC SOLDAVEL 45º AGUA FRIA 40MM - FORNECIMENTO E INSTALACAO</v>
          </cell>
          <cell r="C2048" t="str">
            <v>UN</v>
          </cell>
          <cell r="D2048">
            <v>9.61</v>
          </cell>
        </row>
        <row r="2049">
          <cell r="A2049">
            <v>72579</v>
          </cell>
          <cell r="B2049" t="str">
            <v>JOELHO PVC SOLDAVEL 90º AGUA FRIA 50MM - FORNECIMENTO E INSTALACAO</v>
          </cell>
          <cell r="C2049" t="str">
            <v>UN</v>
          </cell>
          <cell r="D2049">
            <v>9.58</v>
          </cell>
        </row>
        <row r="2050">
          <cell r="A2050">
            <v>72580</v>
          </cell>
          <cell r="B2050" t="str">
            <v>JOELHO PVC SOLDAVEL 45º AGUA FRIA 50MM - FORNECIMENTO E INSTALACAO</v>
          </cell>
          <cell r="C2050" t="str">
            <v>UN</v>
          </cell>
          <cell r="D2050">
            <v>10.83</v>
          </cell>
        </row>
        <row r="2051">
          <cell r="A2051">
            <v>72581</v>
          </cell>
          <cell r="B2051" t="str">
            <v>JOELHO PVC SOLDAVEL 90º AGUA FRIA 60MM - FORNECIMENTO E INSTALACAO</v>
          </cell>
          <cell r="C2051" t="str">
            <v>UN</v>
          </cell>
          <cell r="D2051">
            <v>24.32</v>
          </cell>
        </row>
        <row r="2052">
          <cell r="A2052">
            <v>72582</v>
          </cell>
          <cell r="B2052" t="str">
            <v>JOELHO PVC SOLDAVEL 45º AGUA FRIA 60MM - FORNECIMENTO E INSTALACAO</v>
          </cell>
          <cell r="C2052" t="str">
            <v>UN</v>
          </cell>
          <cell r="D2052">
            <v>23.92</v>
          </cell>
        </row>
        <row r="2053">
          <cell r="A2053">
            <v>72583</v>
          </cell>
          <cell r="B2053" t="str">
            <v>JOELHO PVC SOLDAVEL 90º AGUA FRIA 75MM - FORNECIMENTO E INSTALACAO</v>
          </cell>
          <cell r="C2053" t="str">
            <v>UN</v>
          </cell>
          <cell r="D2053">
            <v>63.41</v>
          </cell>
        </row>
        <row r="2054">
          <cell r="A2054">
            <v>72584</v>
          </cell>
          <cell r="B2054" t="str">
            <v>JOELHO PVC SOLDAVEL 45º AGUA FRIA 75MM - FORNECIMENTO E INSTALACAO</v>
          </cell>
          <cell r="C2054" t="str">
            <v>UN</v>
          </cell>
          <cell r="D2054">
            <v>48.96</v>
          </cell>
        </row>
        <row r="2055">
          <cell r="A2055">
            <v>72585</v>
          </cell>
          <cell r="B2055" t="str">
            <v>JOELHO PVC SOLDAVEL 90º AGUA FRIA 85MM - FORNECIMENTO E INSTALACAO</v>
          </cell>
          <cell r="C2055" t="str">
            <v>UN</v>
          </cell>
          <cell r="D2055">
            <v>71.53</v>
          </cell>
        </row>
        <row r="2056">
          <cell r="A2056">
            <v>72586</v>
          </cell>
          <cell r="B2056" t="str">
            <v>JOELHO PVC SOLDAVEL 45º AGUA FRIA 85MM - FORNECIMENTO E INSTALACAO</v>
          </cell>
          <cell r="C2056" t="str">
            <v>UN</v>
          </cell>
          <cell r="D2056">
            <v>55.53</v>
          </cell>
        </row>
        <row r="2057">
          <cell r="A2057">
            <v>72587</v>
          </cell>
          <cell r="B2057" t="str">
            <v>JOELHO PVC ROSQUEAVEL 90º AGUA FRIA 1.1/2" - FORNECIMENTO E INSTALACAO</v>
          </cell>
          <cell r="C2057" t="str">
            <v>UN</v>
          </cell>
          <cell r="D2057">
            <v>15.08</v>
          </cell>
        </row>
        <row r="2058">
          <cell r="A2058">
            <v>72588</v>
          </cell>
          <cell r="B2058" t="str">
            <v>JOELHO PVC ROSQUEAVEL 45º AGUA FRIA 1.1/2" - FORNECIMENTO E INSTALACAO</v>
          </cell>
          <cell r="C2058" t="str">
            <v>UN</v>
          </cell>
          <cell r="D2058">
            <v>16.809999999999999</v>
          </cell>
        </row>
        <row r="2059">
          <cell r="A2059">
            <v>72589</v>
          </cell>
          <cell r="B2059" t="str">
            <v>JOELHO PVC ROSQUEAVEL 90º AGUA FRIA 1.1/4" - FORNECIMENTO E INSTALACAO</v>
          </cell>
          <cell r="C2059" t="str">
            <v>UN</v>
          </cell>
          <cell r="D2059">
            <v>14.07</v>
          </cell>
        </row>
        <row r="2060">
          <cell r="A2060">
            <v>72590</v>
          </cell>
          <cell r="B2060" t="str">
            <v>JOELHO PVC ROSQUEAVEL 45º AGUA FRIA 1.1/4" - FORNECIMENTO E INSTALACAO</v>
          </cell>
          <cell r="C2060" t="str">
            <v>UN</v>
          </cell>
          <cell r="D2060">
            <v>12.43</v>
          </cell>
        </row>
        <row r="2061">
          <cell r="A2061">
            <v>72591</v>
          </cell>
          <cell r="B2061" t="str">
            <v>JOELHO PVC ROSQUEAVEL 90º AGUA FRIA 1" - FORNECIMENTO E INSTALACAO</v>
          </cell>
          <cell r="C2061" t="str">
            <v>UN</v>
          </cell>
          <cell r="D2061">
            <v>7.82</v>
          </cell>
        </row>
        <row r="2062">
          <cell r="A2062">
            <v>72592</v>
          </cell>
          <cell r="B2062" t="str">
            <v>JOELHO PVC ROSQUEAVEL 45º AGUA FRIA 1" - FORNECIMENTO E INSTALACAO</v>
          </cell>
          <cell r="C2062" t="str">
            <v>UN</v>
          </cell>
          <cell r="D2062">
            <v>11.12</v>
          </cell>
        </row>
        <row r="2063">
          <cell r="A2063">
            <v>72593</v>
          </cell>
          <cell r="B2063" t="str">
            <v>JOELHO PVC ROSQUEAVEL 90º AGUA FRIA 1/2" - FORNECIMENTO E INSTALACAO</v>
          </cell>
          <cell r="C2063" t="str">
            <v>UN</v>
          </cell>
          <cell r="D2063">
            <v>5.21</v>
          </cell>
        </row>
        <row r="2064">
          <cell r="A2064">
            <v>72594</v>
          </cell>
          <cell r="B2064" t="str">
            <v>JOELHO PVC ROSQUEAVEL 45º AGUA FRIA 1/2" - FORNECIMENTO E INSTALACAO</v>
          </cell>
          <cell r="C2064" t="str">
            <v>UN</v>
          </cell>
          <cell r="D2064">
            <v>5.96</v>
          </cell>
        </row>
        <row r="2065">
          <cell r="A2065">
            <v>72595</v>
          </cell>
          <cell r="B2065" t="str">
            <v>JOELHO PVC ROSQUEAVEL 90º AGUA FRIA 2" - FORNECIMENTO E INSTALACAO</v>
          </cell>
          <cell r="C2065" t="str">
            <v>UN</v>
          </cell>
          <cell r="D2065">
            <v>25.32</v>
          </cell>
        </row>
        <row r="2066">
          <cell r="A2066">
            <v>72596</v>
          </cell>
          <cell r="B2066" t="str">
            <v>JOELHO PVC ROSQUEAVEL 45º AGUA FRIA 2" - FORNECIMENTO E INSTALACAO</v>
          </cell>
          <cell r="C2066" t="str">
            <v>UN</v>
          </cell>
          <cell r="D2066">
            <v>22.37</v>
          </cell>
        </row>
        <row r="2067">
          <cell r="A2067">
            <v>72597</v>
          </cell>
          <cell r="B2067" t="str">
            <v>JOELHO PVC ROSQUEAVEL 90º AGUA FRIA 3/4" - FORNECIMENTO E INSTALACAO</v>
          </cell>
          <cell r="C2067" t="str">
            <v>UN</v>
          </cell>
          <cell r="D2067">
            <v>6.11</v>
          </cell>
        </row>
        <row r="2068">
          <cell r="A2068">
            <v>72598</v>
          </cell>
          <cell r="B2068" t="str">
            <v>JOELHO PVC ROSQUEAVEL 45º AGUA FRIA 3/4" - FORNECIMENTO E INSTALACAO</v>
          </cell>
          <cell r="C2068" t="str">
            <v>UN</v>
          </cell>
          <cell r="D2068">
            <v>6.96</v>
          </cell>
        </row>
        <row r="2069">
          <cell r="A2069">
            <v>72599</v>
          </cell>
          <cell r="B2069" t="str">
            <v>JOELHO REDUCAO PVC ROSQUEAVEL 90º AGUA FRIA 1X3/4" - FORNECIMENTO E INSTALACAO</v>
          </cell>
          <cell r="C2069" t="str">
            <v>UN</v>
          </cell>
          <cell r="D2069">
            <v>7.86</v>
          </cell>
        </row>
        <row r="2070">
          <cell r="A2070">
            <v>72600</v>
          </cell>
          <cell r="B2070" t="str">
            <v>JOELHO REDUCAO PVC ROSQUEAVEL 90º AGUA FRIA 3/4X1/2" - FORNECIMENTO E INSTALACAO</v>
          </cell>
          <cell r="C2070" t="str">
            <v>UN</v>
          </cell>
          <cell r="D2070">
            <v>6.3</v>
          </cell>
        </row>
        <row r="2071">
          <cell r="A2071">
            <v>72601</v>
          </cell>
          <cell r="B2071" t="str">
            <v>JOELHO REDUCAO PVC SOLDAVEL 90º AGUA FRIA 25X20MM - FORNECIMENTO E INSTALACAO</v>
          </cell>
          <cell r="C2071" t="str">
            <v>UN</v>
          </cell>
          <cell r="D2071">
            <v>5.71</v>
          </cell>
        </row>
        <row r="2072">
          <cell r="A2072">
            <v>72602</v>
          </cell>
          <cell r="B2072" t="str">
            <v>JOELHO REDUCAO PVC SOLDAVEL 90º AGUA FRIA 32X25MM - FORNECIMENTO E INSTALACAO</v>
          </cell>
          <cell r="C2072" t="str">
            <v>UN</v>
          </cell>
          <cell r="D2072">
            <v>6.71</v>
          </cell>
        </row>
        <row r="2073">
          <cell r="A2073">
            <v>72603</v>
          </cell>
          <cell r="B2073" t="str">
            <v>JUNCAO PVC ESGOTO 100X100MM - FORNECIMENTO E INSTALACAO</v>
          </cell>
          <cell r="C2073" t="str">
            <v>UN</v>
          </cell>
          <cell r="D2073">
            <v>25.97</v>
          </cell>
        </row>
        <row r="2074">
          <cell r="A2074">
            <v>72604</v>
          </cell>
          <cell r="B2074" t="str">
            <v>JUNCAO PVC ESGOTO 50X50MM - FORNECIMENTO E INSTALACAO</v>
          </cell>
          <cell r="C2074" t="str">
            <v>UN</v>
          </cell>
          <cell r="D2074">
            <v>11.48</v>
          </cell>
        </row>
        <row r="2075">
          <cell r="A2075">
            <v>72605</v>
          </cell>
          <cell r="B2075" t="str">
            <v>JUNCAO PVC ESGOTO 75X75MM - FORNECIMENTO E INSTALACAO</v>
          </cell>
          <cell r="C2075" t="str">
            <v>UN</v>
          </cell>
          <cell r="D2075">
            <v>20.260000000000002</v>
          </cell>
        </row>
        <row r="2076">
          <cell r="A2076">
            <v>72609</v>
          </cell>
          <cell r="B2076" t="str">
            <v>JUNCAO DUPLA PVC ESGOTO 100X100X100MM - FORNECIMENTO E INSTALACAO</v>
          </cell>
          <cell r="C2076" t="str">
            <v>UN</v>
          </cell>
          <cell r="D2076">
            <v>38.47</v>
          </cell>
        </row>
        <row r="2077">
          <cell r="A2077">
            <v>72610</v>
          </cell>
          <cell r="B2077" t="str">
            <v>JUNCAO DUPLA PVC ESGOTO 75X75X75MM - FORNECIMENTO E INSTALACAO</v>
          </cell>
          <cell r="C2077" t="str">
            <v>UN</v>
          </cell>
          <cell r="D2077">
            <v>23.19</v>
          </cell>
        </row>
        <row r="2078">
          <cell r="A2078">
            <v>72611</v>
          </cell>
          <cell r="B2078" t="str">
            <v>LUVA DE ACO GALVANIZADO 1.1/2" - FORNECIMENTO E INSTALACAO</v>
          </cell>
          <cell r="C2078" t="str">
            <v>UN</v>
          </cell>
          <cell r="D2078">
            <v>19.100000000000001</v>
          </cell>
        </row>
        <row r="2079">
          <cell r="A2079">
            <v>72612</v>
          </cell>
          <cell r="B2079" t="str">
            <v>LUVA DE ACO GALVANIZADO 1.1/4" - FORNECIMENTO E INSTALACAO</v>
          </cell>
          <cell r="C2079" t="str">
            <v>UN</v>
          </cell>
          <cell r="D2079">
            <v>15.57</v>
          </cell>
        </row>
        <row r="2080">
          <cell r="A2080">
            <v>72613</v>
          </cell>
          <cell r="B2080" t="str">
            <v>LUVA DE ACO GALVANIZADO 1" - FORNECIMENTO E INSTALACAO</v>
          </cell>
          <cell r="C2080" t="str">
            <v>UN</v>
          </cell>
          <cell r="D2080">
            <v>12.5</v>
          </cell>
        </row>
        <row r="2081">
          <cell r="A2081">
            <v>72614</v>
          </cell>
          <cell r="B2081" t="str">
            <v>LUVA DE ACO GALVANIZADO 1/2" - FORNECIMENTO E INSTALACAO</v>
          </cell>
          <cell r="C2081" t="str">
            <v>UN</v>
          </cell>
          <cell r="D2081">
            <v>8.25</v>
          </cell>
        </row>
        <row r="2082">
          <cell r="A2082">
            <v>72615</v>
          </cell>
          <cell r="B2082" t="str">
            <v>LUVA DE ACO GALVANIZADO 2.1/2" - FORNECIMENTO E INSTALACAO</v>
          </cell>
          <cell r="C2082" t="str">
            <v>UN</v>
          </cell>
          <cell r="D2082">
            <v>42.59</v>
          </cell>
        </row>
        <row r="2083">
          <cell r="A2083">
            <v>72616</v>
          </cell>
          <cell r="B2083" t="str">
            <v>LUVA DE ACO GALVANIZADO 2" - FORNECIMENTO E INSTALACAO</v>
          </cell>
          <cell r="C2083" t="str">
            <v>UN</v>
          </cell>
          <cell r="D2083">
            <v>25.61</v>
          </cell>
        </row>
        <row r="2084">
          <cell r="A2084">
            <v>72617</v>
          </cell>
          <cell r="B2084" t="str">
            <v>LUVA DE ACO GALVANIZADO 3" - FORNECIMENTO E INSTALACAO</v>
          </cell>
          <cell r="C2084" t="str">
            <v>UN</v>
          </cell>
          <cell r="D2084">
            <v>59.49</v>
          </cell>
        </row>
        <row r="2085">
          <cell r="A2085">
            <v>72618</v>
          </cell>
          <cell r="B2085" t="str">
            <v>LUVA DE ACO GALVANIZADO 3/4" - FORNECIMENTO E INSTALACAO</v>
          </cell>
          <cell r="C2085" t="str">
            <v>UN</v>
          </cell>
          <cell r="D2085">
            <v>10.039999999999999</v>
          </cell>
        </row>
        <row r="2086">
          <cell r="A2086">
            <v>72619</v>
          </cell>
          <cell r="B2086" t="str">
            <v>LUVA DE ACO GALVANIZADO 4" - FORNECIMENTO E INSTALACAO</v>
          </cell>
          <cell r="C2086" t="str">
            <v>UN</v>
          </cell>
          <cell r="D2086">
            <v>84.48</v>
          </cell>
        </row>
        <row r="2087">
          <cell r="A2087">
            <v>72620</v>
          </cell>
          <cell r="B2087" t="str">
            <v>LUVA DE ACO GALVANIZADO 5" - FORNECIMENTO E INSTALACAO</v>
          </cell>
          <cell r="C2087" t="str">
            <v>UN</v>
          </cell>
          <cell r="D2087">
            <v>159.49</v>
          </cell>
        </row>
        <row r="2088">
          <cell r="A2088">
            <v>72621</v>
          </cell>
          <cell r="B2088" t="str">
            <v>LUVA DE ACO GALVANIZADO 6" - FORNECIMENTO E INSTALACAO</v>
          </cell>
          <cell r="C2088" t="str">
            <v>UN</v>
          </cell>
          <cell r="D2088">
            <v>225.15</v>
          </cell>
        </row>
        <row r="2089">
          <cell r="A2089">
            <v>72622</v>
          </cell>
          <cell r="B2089" t="str">
            <v>LUVA DE COBRE SEM ANEL SOLDA 15MM - FORNECIMENTO E INSTALACAO</v>
          </cell>
          <cell r="C2089" t="str">
            <v>UN</v>
          </cell>
          <cell r="D2089">
            <v>4.88</v>
          </cell>
        </row>
        <row r="2090">
          <cell r="A2090">
            <v>72623</v>
          </cell>
          <cell r="B2090" t="str">
            <v>LUVA DE COBRE SEM ANEL SOLDA 28MM - FORNECIMENTO E INSTALACAO</v>
          </cell>
          <cell r="C2090" t="str">
            <v>UN</v>
          </cell>
          <cell r="D2090">
            <v>10.16</v>
          </cell>
        </row>
        <row r="2091">
          <cell r="A2091">
            <v>72624</v>
          </cell>
          <cell r="B2091" t="str">
            <v>LUVA DE COBRE SEM ANEL SOLDA 42MM - FORNECIMENTO E INSTALACAO</v>
          </cell>
          <cell r="C2091" t="str">
            <v>UN</v>
          </cell>
          <cell r="D2091">
            <v>26.32</v>
          </cell>
        </row>
        <row r="2092">
          <cell r="A2092">
            <v>72625</v>
          </cell>
          <cell r="B2092" t="str">
            <v>LUVA DE COBRE SEM ANEL SOLDA 54MM - FORNECIMENTO E INSTALACAO</v>
          </cell>
          <cell r="C2092" t="str">
            <v>UN</v>
          </cell>
          <cell r="D2092">
            <v>38.409999999999997</v>
          </cell>
        </row>
        <row r="2093">
          <cell r="A2093">
            <v>72626</v>
          </cell>
          <cell r="B2093" t="str">
            <v>LUVA DE COBRE SEM ANEL SOLDA 66MM - FORNECIMENTO E INSTALACAO</v>
          </cell>
          <cell r="C2093" t="str">
            <v>UN</v>
          </cell>
          <cell r="D2093">
            <v>101.54</v>
          </cell>
        </row>
        <row r="2094">
          <cell r="A2094">
            <v>72627</v>
          </cell>
          <cell r="B2094" t="str">
            <v>LUVA DE COBRE SEM ANEL SOLDA 79MM - FORNECIMENTO E INSTALACAO</v>
          </cell>
          <cell r="C2094" t="str">
            <v>UN</v>
          </cell>
          <cell r="D2094">
            <v>137.61000000000001</v>
          </cell>
        </row>
        <row r="2095">
          <cell r="A2095">
            <v>72628</v>
          </cell>
          <cell r="B2095" t="str">
            <v>LUVA PVC ESGOTO 100MM - FORNECIMENTO E INSTALACAO</v>
          </cell>
          <cell r="C2095" t="str">
            <v>UN</v>
          </cell>
          <cell r="D2095">
            <v>10.33</v>
          </cell>
        </row>
        <row r="2096">
          <cell r="A2096">
            <v>72629</v>
          </cell>
          <cell r="B2096" t="str">
            <v>LUVA PVC ESGOTO 40MM - FORNECIMENTO E INSTALACAO</v>
          </cell>
          <cell r="C2096" t="str">
            <v>UN</v>
          </cell>
          <cell r="D2096">
            <v>3.96</v>
          </cell>
        </row>
        <row r="2097">
          <cell r="A2097">
            <v>72630</v>
          </cell>
          <cell r="B2097" t="str">
            <v>LUVA PVC ESGOTO 50MM - FORNECIMENTO E INSTALACAO</v>
          </cell>
          <cell r="C2097" t="str">
            <v>UN</v>
          </cell>
          <cell r="D2097">
            <v>5.49</v>
          </cell>
        </row>
        <row r="2098">
          <cell r="A2098">
            <v>72631</v>
          </cell>
          <cell r="B2098" t="str">
            <v>LUVA PVC ESGOTO 75MM - FORNECIMENTO E INSTALACAO</v>
          </cell>
          <cell r="C2098" t="str">
            <v>UN</v>
          </cell>
          <cell r="D2098">
            <v>7.85</v>
          </cell>
        </row>
        <row r="2099">
          <cell r="A2099">
            <v>72632</v>
          </cell>
          <cell r="B2099" t="str">
            <v>LUVA PVC ROSQUEAVEL AGUA FRIA 1.1/2" - FORNECIMENTO E INSTALACAO</v>
          </cell>
          <cell r="C2099" t="str">
            <v>UN</v>
          </cell>
          <cell r="D2099">
            <v>5.28</v>
          </cell>
        </row>
        <row r="2100">
          <cell r="A2100">
            <v>72633</v>
          </cell>
          <cell r="B2100" t="str">
            <v>LUVA PVC ROSQUEAVEL AGUA FRIA 1.1/4" - FORNECIMENTO E INSTALACAO</v>
          </cell>
          <cell r="C2100" t="str">
            <v>UN</v>
          </cell>
          <cell r="D2100">
            <v>6.59</v>
          </cell>
        </row>
        <row r="2101">
          <cell r="A2101">
            <v>72634</v>
          </cell>
          <cell r="B2101" t="str">
            <v>LUVA PVC ROSQUEAVEL AGUA FRIA 1" - FORNECIMENTO E INSTALACAO</v>
          </cell>
          <cell r="C2101" t="str">
            <v>UN</v>
          </cell>
          <cell r="D2101">
            <v>4.29</v>
          </cell>
        </row>
        <row r="2102">
          <cell r="A2102">
            <v>72635</v>
          </cell>
          <cell r="B2102" t="str">
            <v>LUVA PVC ROSQUEAVEL AGUA FRIA 1/2" - FORNECIMENTO E INSTALACAO</v>
          </cell>
          <cell r="C2102" t="str">
            <v>UN</v>
          </cell>
          <cell r="D2102">
            <v>2.86</v>
          </cell>
        </row>
        <row r="2103">
          <cell r="A2103">
            <v>72636</v>
          </cell>
          <cell r="B2103" t="str">
            <v>LUVA PVC ROSQUEAVEL AGUA FRIA 2.1/2" - FORNECIMENTO E INSTALACAO</v>
          </cell>
          <cell r="C2103" t="str">
            <v>UN</v>
          </cell>
          <cell r="D2103">
            <v>15.94</v>
          </cell>
        </row>
        <row r="2104">
          <cell r="A2104">
            <v>72637</v>
          </cell>
          <cell r="B2104" t="str">
            <v>LUVA PVC ROSQUEAVEL AGUA FRIA 2" - FORNECIMENTO E INSTALACAO</v>
          </cell>
          <cell r="C2104" t="str">
            <v>UN</v>
          </cell>
          <cell r="D2104">
            <v>11.8</v>
          </cell>
        </row>
        <row r="2105">
          <cell r="A2105">
            <v>72638</v>
          </cell>
          <cell r="B2105" t="str">
            <v>LUVA PVC ROSQUEAVEL AGUA FRIA 3" - FORNECIMENTO E INSTALACAO</v>
          </cell>
          <cell r="C2105" t="str">
            <v>UN</v>
          </cell>
          <cell r="D2105">
            <v>18.809999999999999</v>
          </cell>
        </row>
        <row r="2106">
          <cell r="A2106">
            <v>72639</v>
          </cell>
          <cell r="B2106" t="str">
            <v>LUVA PVC ROSQUEAVEL AGUA FRIA 3/4" - FORNECIMENTO E INSTALACAO</v>
          </cell>
          <cell r="C2106" t="str">
            <v>UN</v>
          </cell>
          <cell r="D2106">
            <v>3.41</v>
          </cell>
        </row>
        <row r="2107">
          <cell r="A2107">
            <v>72640</v>
          </cell>
          <cell r="B2107" t="str">
            <v>LUVA PVC ROSQUEAVEL AGUA FRIA 4" - FORNECIMENTO E INSTALACAO</v>
          </cell>
          <cell r="C2107" t="str">
            <v>UN</v>
          </cell>
          <cell r="D2107">
            <v>29.08</v>
          </cell>
        </row>
        <row r="2108">
          <cell r="A2108">
            <v>72641</v>
          </cell>
          <cell r="B2108" t="str">
            <v>LUVA PVC SOLDAVEL AGUA FRIA 110MM - FORNECIMENTO E INSTALACAO</v>
          </cell>
          <cell r="C2108" t="str">
            <v>UN</v>
          </cell>
          <cell r="D2108">
            <v>49.64</v>
          </cell>
        </row>
        <row r="2109">
          <cell r="A2109">
            <v>72642</v>
          </cell>
          <cell r="B2109" t="str">
            <v>LUVA PVC SOLDAVEL AGUA FRIA 20MM - FORNECIMENTO E INSTALACAO</v>
          </cell>
          <cell r="C2109" t="str">
            <v>UN</v>
          </cell>
          <cell r="D2109">
            <v>2.66</v>
          </cell>
        </row>
        <row r="2110">
          <cell r="A2110">
            <v>72643</v>
          </cell>
          <cell r="B2110" t="str">
            <v>LUVA PVC SOLDAVEL AGUA FRIA 25MM - FORNECIMENTO E INSTALACAO</v>
          </cell>
          <cell r="C2110" t="str">
            <v>UN</v>
          </cell>
          <cell r="D2110">
            <v>2.91</v>
          </cell>
        </row>
        <row r="2111">
          <cell r="A2111">
            <v>72644</v>
          </cell>
          <cell r="B2111" t="str">
            <v>LUVA PVC SOLDAVEL AGUA FRIA 32MM - FORNECIMENTO E INSTALACAO</v>
          </cell>
          <cell r="C2111" t="str">
            <v>UN</v>
          </cell>
          <cell r="D2111">
            <v>3.91</v>
          </cell>
        </row>
        <row r="2112">
          <cell r="A2112">
            <v>72645</v>
          </cell>
          <cell r="B2112" t="str">
            <v>LUVA PVC SOLDAVEL AGUA FRIA 40MM - FORNECIMENTO E INSTALACAO</v>
          </cell>
          <cell r="C2112" t="str">
            <v>UN</v>
          </cell>
          <cell r="D2112">
            <v>5.83</v>
          </cell>
        </row>
        <row r="2113">
          <cell r="A2113">
            <v>72646</v>
          </cell>
          <cell r="B2113" t="str">
            <v>LUVA PVC SOLDAVEL AGUA FRIA 50MM - FORNECIMENTO E INSTALACAO</v>
          </cell>
          <cell r="C2113" t="str">
            <v>UN</v>
          </cell>
          <cell r="D2113">
            <v>6.3</v>
          </cell>
        </row>
        <row r="2114">
          <cell r="A2114">
            <v>72647</v>
          </cell>
          <cell r="B2114" t="str">
            <v>LUVA PVC SOLDAVEL AGUA FRIA 60MM - FORNECIMENTO E INSTALACAO</v>
          </cell>
          <cell r="C2114" t="str">
            <v>UN</v>
          </cell>
          <cell r="D2114">
            <v>12.87</v>
          </cell>
        </row>
        <row r="2115">
          <cell r="A2115">
            <v>72648</v>
          </cell>
          <cell r="B2115" t="str">
            <v>LUVA PVC SOLDAVEL AGUA FRIA 75MM - FORNECIMENTO E INSTALACAO</v>
          </cell>
          <cell r="C2115" t="str">
            <v>UN</v>
          </cell>
          <cell r="D2115">
            <v>16.440000000000001</v>
          </cell>
        </row>
        <row r="2116">
          <cell r="A2116">
            <v>72649</v>
          </cell>
          <cell r="B2116" t="str">
            <v>LUVA PVC SOLDAVEL AGUA FRIA 85MM - FORNECIMENTO E INSTALACAO</v>
          </cell>
          <cell r="C2116" t="str">
            <v>UN</v>
          </cell>
          <cell r="D2116">
            <v>37.119999999999997</v>
          </cell>
        </row>
        <row r="2117">
          <cell r="A2117">
            <v>72650</v>
          </cell>
          <cell r="B2117" t="str">
            <v>LUVA REDUCAO ACO GALVANIZADO 1.1/2X1.1/4" - FORNECIMENTO E INSTALACAO</v>
          </cell>
          <cell r="C2117" t="str">
            <v>UN</v>
          </cell>
          <cell r="D2117">
            <v>28.99</v>
          </cell>
        </row>
        <row r="2118">
          <cell r="A2118">
            <v>72651</v>
          </cell>
          <cell r="B2118" t="str">
            <v>LUVA REDUCAO ACO GALVANIZADO 1.1/2X1" - FORNECIMENTO E INSTALACAO</v>
          </cell>
          <cell r="C2118" t="str">
            <v>UN</v>
          </cell>
          <cell r="D2118">
            <v>27.77</v>
          </cell>
        </row>
        <row r="2119">
          <cell r="A2119">
            <v>72652</v>
          </cell>
          <cell r="B2119" t="str">
            <v>LUVA REDUCAO ACO GALVANIZADO 1.1/2X3/4" - FORNECIMENTO E INSTALACAO</v>
          </cell>
          <cell r="C2119" t="str">
            <v>UN</v>
          </cell>
          <cell r="D2119">
            <v>26.06</v>
          </cell>
        </row>
        <row r="2120">
          <cell r="A2120">
            <v>72653</v>
          </cell>
          <cell r="B2120" t="str">
            <v>LUVA REDUCAO ACO GALVANIZADO 1.1/4X1" - FORNECIMENTO E INSTALACAO</v>
          </cell>
          <cell r="C2120" t="str">
            <v>UN</v>
          </cell>
          <cell r="D2120">
            <v>22.37</v>
          </cell>
        </row>
        <row r="2121">
          <cell r="A2121">
            <v>72654</v>
          </cell>
          <cell r="B2121" t="str">
            <v>LUVA REDUCAO ACO GALVANIZADO 1.1/4X1/2" - FORNECIMENTO E INSTALACAO</v>
          </cell>
          <cell r="C2121" t="str">
            <v>UN</v>
          </cell>
          <cell r="D2121">
            <v>19.920000000000002</v>
          </cell>
        </row>
        <row r="2122">
          <cell r="A2122">
            <v>72655</v>
          </cell>
          <cell r="B2122" t="str">
            <v>LUVA REDUCAO ACO GALVANIZADO 1.1/4X3/4" - FORNECIMENTO E INSTALACAO</v>
          </cell>
          <cell r="C2122" t="str">
            <v>UN</v>
          </cell>
          <cell r="D2122">
            <v>21.06</v>
          </cell>
        </row>
        <row r="2123">
          <cell r="A2123">
            <v>72656</v>
          </cell>
          <cell r="B2123" t="str">
            <v>LUVA REDUCAO ACO GALVANIZADO 1X1/2" - FORNECIMENTO E INSTALACAO</v>
          </cell>
          <cell r="C2123" t="str">
            <v>UN</v>
          </cell>
          <cell r="D2123">
            <v>15.31</v>
          </cell>
        </row>
        <row r="2124">
          <cell r="A2124">
            <v>72657</v>
          </cell>
          <cell r="B2124" t="str">
            <v>LUVA REDUCAO ACO GALVANIZADO 1X3/4" - FORNECIMENTO E INSTALACAO</v>
          </cell>
          <cell r="C2124" t="str">
            <v>UN</v>
          </cell>
          <cell r="D2124">
            <v>16.3</v>
          </cell>
        </row>
        <row r="2125">
          <cell r="A2125">
            <v>72658</v>
          </cell>
          <cell r="B2125" t="str">
            <v>LUVA REDUCAO ACO GALVANIZADO 2.1/2X1.1/2" - FORNECIMENTO E INSTALACAO</v>
          </cell>
          <cell r="C2125" t="str">
            <v>UN</v>
          </cell>
          <cell r="D2125">
            <v>53.84</v>
          </cell>
        </row>
        <row r="2126">
          <cell r="A2126">
            <v>72659</v>
          </cell>
          <cell r="B2126" t="str">
            <v>LUVA REDUCAO ACO GALVANIZADO 2.1/2X2" - FORNECIMENTO E INSTALACAO</v>
          </cell>
          <cell r="C2126" t="str">
            <v>UN</v>
          </cell>
          <cell r="D2126">
            <v>54.31</v>
          </cell>
        </row>
        <row r="2127">
          <cell r="A2127">
            <v>72660</v>
          </cell>
          <cell r="B2127" t="str">
            <v>LUVA REDUCAO ACO GALVANIZADO 2X1.1/2" - FORNECIMENTO E INSTALACAO</v>
          </cell>
          <cell r="C2127" t="str">
            <v>UN</v>
          </cell>
          <cell r="D2127">
            <v>37.22</v>
          </cell>
        </row>
        <row r="2128">
          <cell r="A2128">
            <v>72661</v>
          </cell>
          <cell r="B2128" t="str">
            <v>LUVA REDUCAO ACO GALVANIZADO 2X1.1/4" - FORNECIMENTO E INSTALACAO</v>
          </cell>
          <cell r="C2128" t="str">
            <v>UN</v>
          </cell>
          <cell r="D2128">
            <v>36.26</v>
          </cell>
        </row>
        <row r="2129">
          <cell r="A2129">
            <v>72662</v>
          </cell>
          <cell r="B2129" t="str">
            <v>LUVA REDUCAO ACO GALVANIZADO 2X1" - FORNECIMENTO E INSTALACAO</v>
          </cell>
          <cell r="C2129" t="str">
            <v>UN</v>
          </cell>
          <cell r="D2129">
            <v>35.630000000000003</v>
          </cell>
        </row>
        <row r="2130">
          <cell r="A2130">
            <v>72663</v>
          </cell>
          <cell r="B2130" t="str">
            <v>LUVA REDUCAO ACO GALVANIZADO 3/4X1/2" - FORNECIMENTO E INSTALACAO</v>
          </cell>
          <cell r="C2130" t="str">
            <v>UN</v>
          </cell>
          <cell r="D2130">
            <v>12.55</v>
          </cell>
        </row>
        <row r="2131">
          <cell r="A2131">
            <v>72664</v>
          </cell>
          <cell r="B2131" t="str">
            <v>LUVA REDUCAO ACO GALVANIZADO 3X1.1/2" - FORNECIMENTO E INSTALACAO</v>
          </cell>
          <cell r="C2131" t="str">
            <v>UN</v>
          </cell>
          <cell r="D2131">
            <v>70.290000000000006</v>
          </cell>
        </row>
        <row r="2132">
          <cell r="A2132">
            <v>72665</v>
          </cell>
          <cell r="B2132" t="str">
            <v>LUVA REDUCAO ACO GALVANIZADO 3X2.1/2" - FORNECIMENTO E INSTALACAO</v>
          </cell>
          <cell r="C2132" t="str">
            <v>UN</v>
          </cell>
          <cell r="D2132">
            <v>71.45</v>
          </cell>
        </row>
        <row r="2133">
          <cell r="A2133">
            <v>72666</v>
          </cell>
          <cell r="B2133" t="str">
            <v>LUVA REDUCAO ACO GALVANIZADO 3X2" - FORNECIMENTO E INSTALACAO</v>
          </cell>
          <cell r="C2133" t="str">
            <v>UN</v>
          </cell>
          <cell r="D2133">
            <v>70.760000000000005</v>
          </cell>
        </row>
        <row r="2134">
          <cell r="A2134">
            <v>72667</v>
          </cell>
          <cell r="B2134" t="str">
            <v>LUVA REDUCAO ACO GALVANIZADO 4X2.1/2" - FORNECIMENTO E INSTALACAO</v>
          </cell>
          <cell r="C2134" t="str">
            <v>UN</v>
          </cell>
          <cell r="D2134">
            <v>96.49</v>
          </cell>
        </row>
        <row r="2135">
          <cell r="A2135">
            <v>72668</v>
          </cell>
          <cell r="B2135" t="str">
            <v>LUVA REDUCAO ACO GALVANIZADO 4X2" - FORNECIMENTO E INSTALACAO</v>
          </cell>
          <cell r="C2135" t="str">
            <v>UN</v>
          </cell>
          <cell r="D2135">
            <v>96.03</v>
          </cell>
        </row>
        <row r="2136">
          <cell r="A2136">
            <v>72669</v>
          </cell>
          <cell r="B2136" t="str">
            <v>LUVA REDUCAO ACO GALVANIZADO 4X3" - FORNECIMENTO E INSTALACAO</v>
          </cell>
          <cell r="C2136" t="str">
            <v>UN</v>
          </cell>
          <cell r="D2136">
            <v>100.01</v>
          </cell>
        </row>
        <row r="2137">
          <cell r="A2137">
            <v>72670</v>
          </cell>
          <cell r="B2137" t="str">
            <v>NIPLE DE PVC ROSQUEAVEL AGUA FRIA 1" - FORNECIMENTO E INSTALACAO</v>
          </cell>
          <cell r="C2137" t="str">
            <v>UN</v>
          </cell>
          <cell r="D2137">
            <v>4.7300000000000004</v>
          </cell>
        </row>
        <row r="2138">
          <cell r="A2138">
            <v>72671</v>
          </cell>
          <cell r="B2138" t="str">
            <v>NIPLE DE PVC ROSQUEAVEL AGUA FRIA 1/2" - FORNECIMENTO E INSTALACAO</v>
          </cell>
          <cell r="C2138" t="str">
            <v>UN</v>
          </cell>
          <cell r="D2138">
            <v>3.32</v>
          </cell>
        </row>
        <row r="2139">
          <cell r="A2139">
            <v>72672</v>
          </cell>
          <cell r="B2139" t="str">
            <v>NIPLE DE PVC ROSQUEAVEL AGUA FRIA 2" - FORNECIMENTO E INSTALACAO</v>
          </cell>
          <cell r="C2139" t="str">
            <v>UN</v>
          </cell>
          <cell r="D2139">
            <v>10.72</v>
          </cell>
        </row>
        <row r="2140">
          <cell r="A2140">
            <v>72673</v>
          </cell>
          <cell r="B2140" t="str">
            <v>NIPLE DE ACO GALVANIZADO 1.1/2" - FORNECIMENTO E INSTALACAO</v>
          </cell>
          <cell r="C2140" t="str">
            <v>UN</v>
          </cell>
          <cell r="D2140">
            <v>16.29</v>
          </cell>
        </row>
        <row r="2141">
          <cell r="A2141">
            <v>72674</v>
          </cell>
          <cell r="B2141" t="str">
            <v>NIPLE DE ACO GALVANIZADO 1.1/4" - FORNECIMENTO E INSTALACAO</v>
          </cell>
          <cell r="C2141" t="str">
            <v>UN</v>
          </cell>
          <cell r="D2141">
            <v>14.38</v>
          </cell>
        </row>
        <row r="2142">
          <cell r="A2142">
            <v>72675</v>
          </cell>
          <cell r="B2142" t="str">
            <v>NIPLE DE ACO GALVANIZADO 1" - FORNECIMENTO E INSTALACAO</v>
          </cell>
          <cell r="C2142" t="str">
            <v>UN</v>
          </cell>
          <cell r="D2142">
            <v>11.75</v>
          </cell>
        </row>
        <row r="2143">
          <cell r="A2143">
            <v>72676</v>
          </cell>
          <cell r="B2143" t="str">
            <v>NIPLE DE ACO GALVANIZADO 1/2" - FORNECIMENTO E INSTALACAO</v>
          </cell>
          <cell r="C2143" t="str">
            <v>UN</v>
          </cell>
          <cell r="D2143">
            <v>7.61</v>
          </cell>
        </row>
        <row r="2144">
          <cell r="A2144">
            <v>72677</v>
          </cell>
          <cell r="B2144" t="str">
            <v>NIPLE DE ACO GALVANIZADO 2.1/2" - FORNECIMENTO E INSTALACAO</v>
          </cell>
          <cell r="C2144" t="str">
            <v>UN</v>
          </cell>
          <cell r="D2144">
            <v>36.1</v>
          </cell>
        </row>
        <row r="2145">
          <cell r="A2145">
            <v>72678</v>
          </cell>
          <cell r="B2145" t="str">
            <v>NIPLE DE ACO GALVANIZADO 2" - FORNECIMENTO E INSTALACAO</v>
          </cell>
          <cell r="C2145" t="str">
            <v>UN</v>
          </cell>
          <cell r="D2145">
            <v>27.49</v>
          </cell>
        </row>
        <row r="2146">
          <cell r="A2146">
            <v>72679</v>
          </cell>
          <cell r="B2146" t="str">
            <v>NIPLE DE ACO GALVANIZADO 3" - FORNECIMENTO E INSTALACAO</v>
          </cell>
          <cell r="C2146" t="str">
            <v>UN</v>
          </cell>
          <cell r="D2146">
            <v>48.67</v>
          </cell>
        </row>
        <row r="2147">
          <cell r="A2147">
            <v>72680</v>
          </cell>
          <cell r="B2147" t="str">
            <v>NIPLE DE ACO GALVANIZADO 3/4" - FORNECIMENTO E INSTALACAO</v>
          </cell>
          <cell r="C2147" t="str">
            <v>UN</v>
          </cell>
          <cell r="D2147">
            <v>9.0500000000000007</v>
          </cell>
        </row>
        <row r="2148">
          <cell r="A2148">
            <v>72681</v>
          </cell>
          <cell r="B2148" t="str">
            <v>NIPLE DE ACO GALVANIZADO 4" - FORNECIMENTO E INSTALACAO</v>
          </cell>
          <cell r="C2148" t="str">
            <v>UN</v>
          </cell>
          <cell r="D2148">
            <v>71.86</v>
          </cell>
        </row>
        <row r="2149">
          <cell r="A2149">
            <v>72682</v>
          </cell>
          <cell r="B2149" t="str">
            <v>NIPLE DE ACO GALVANIZADO 5" - FORNECIMENTO E INSTALACAO</v>
          </cell>
          <cell r="C2149" t="str">
            <v>UN</v>
          </cell>
          <cell r="D2149">
            <v>121.35</v>
          </cell>
        </row>
        <row r="2150">
          <cell r="A2150">
            <v>72683</v>
          </cell>
          <cell r="B2150" t="str">
            <v>NIPLE DE ACO GALVANIZADO 6" - FORNECIMENTO E INSTALACAO</v>
          </cell>
          <cell r="C2150" t="str">
            <v>UN</v>
          </cell>
          <cell r="D2150">
            <v>146.68</v>
          </cell>
        </row>
        <row r="2151">
          <cell r="A2151">
            <v>72686</v>
          </cell>
          <cell r="B2151" t="str">
            <v>REDUCAO DE PVC ROSQUEAVEL AGUA FRIA 1.1/2X1.1/4" - FORNECIMENTO E INSTALACAO</v>
          </cell>
          <cell r="C2151" t="str">
            <v>UN</v>
          </cell>
          <cell r="D2151">
            <v>8.89</v>
          </cell>
        </row>
        <row r="2152">
          <cell r="A2152">
            <v>72687</v>
          </cell>
          <cell r="B2152" t="str">
            <v>REDUCAO DE PVC ROSQUEAVEL AGUA FRIA 1.1/2X1" - FORNECIMENTO E INSTALACAO</v>
          </cell>
          <cell r="C2152" t="str">
            <v>UN</v>
          </cell>
          <cell r="D2152">
            <v>10.79</v>
          </cell>
        </row>
        <row r="2153">
          <cell r="A2153">
            <v>72688</v>
          </cell>
          <cell r="B2153" t="str">
            <v>REDUCAO DE PVC ROSQUEAVEL AGUA FRIA 1.1/2X3/4" - FORNECIMENTO E INSTALACAO</v>
          </cell>
          <cell r="C2153" t="str">
            <v>UN</v>
          </cell>
          <cell r="D2153">
            <v>10.199999999999999</v>
          </cell>
        </row>
        <row r="2154">
          <cell r="A2154">
            <v>72689</v>
          </cell>
          <cell r="B2154" t="str">
            <v>REDUCAO DE PVC ROSQUEAVEL AGUA FRIA 1.1/4X1" - FORNECIMENTO E INSTALACAO</v>
          </cell>
          <cell r="C2154" t="str">
            <v>UN</v>
          </cell>
          <cell r="D2154">
            <v>6.2</v>
          </cell>
        </row>
        <row r="2155">
          <cell r="A2155">
            <v>72690</v>
          </cell>
          <cell r="B2155" t="str">
            <v>REDUCAO DE PVC ROSQUEAVEL AGUA FRIA 1.1/4X3/4" - FORNECIMENTO E INSTALACAO</v>
          </cell>
          <cell r="C2155" t="str">
            <v>UN</v>
          </cell>
          <cell r="D2155">
            <v>5.66</v>
          </cell>
        </row>
        <row r="2156">
          <cell r="A2156">
            <v>72691</v>
          </cell>
          <cell r="B2156" t="str">
            <v>REDUCAO DE PVC ROSQUEAVEL AGUA FRIA 1X1/2" - FORNECIMENTO E INSTALACAO</v>
          </cell>
          <cell r="C2156" t="str">
            <v>UN</v>
          </cell>
          <cell r="D2156">
            <v>4.83</v>
          </cell>
        </row>
        <row r="2157">
          <cell r="A2157">
            <v>72692</v>
          </cell>
          <cell r="B2157" t="str">
            <v>REDUCAO DE PVC ROSQUEAVEL AGUA FRIA 1X3/4" - FORNECIMENTO E INSTALACAO</v>
          </cell>
          <cell r="C2157" t="str">
            <v>UN</v>
          </cell>
          <cell r="D2157">
            <v>4.3600000000000003</v>
          </cell>
        </row>
        <row r="2158">
          <cell r="A2158">
            <v>72693</v>
          </cell>
          <cell r="B2158" t="str">
            <v>REDUCAO DE PVC ROSQUEAVEL AGUA FRIA 2X1.1/2" - FORNECIMENTO E INSTALACAO</v>
          </cell>
          <cell r="C2158" t="str">
            <v>UN</v>
          </cell>
          <cell r="D2158">
            <v>14.23</v>
          </cell>
        </row>
        <row r="2159">
          <cell r="A2159">
            <v>72694</v>
          </cell>
          <cell r="B2159" t="str">
            <v>REDUCAO DE PVC ROSQUEAVEL AGUA FRIA 2X1.1/4" - FORNECIMENTO E INSTALACAO</v>
          </cell>
          <cell r="C2159" t="str">
            <v>UN</v>
          </cell>
          <cell r="D2159">
            <v>14.44</v>
          </cell>
        </row>
        <row r="2160">
          <cell r="A2160">
            <v>72695</v>
          </cell>
          <cell r="B2160" t="str">
            <v>REDUCAO DE PVC ROSQUEAVEL AGUA FRIA 2X1" - FORNECIMENTO E INSTALACAO</v>
          </cell>
          <cell r="C2160" t="str">
            <v>UN</v>
          </cell>
          <cell r="D2160">
            <v>15.52</v>
          </cell>
        </row>
        <row r="2161">
          <cell r="A2161">
            <v>72696</v>
          </cell>
          <cell r="B2161" t="str">
            <v>REDUCAO DE PVC ROSQUEAVEL AGUA FRIA 3/4X1/2" - FORNECIMENTO E INSTALACAO</v>
          </cell>
          <cell r="C2161" t="str">
            <v>UN</v>
          </cell>
          <cell r="D2161">
            <v>3.05</v>
          </cell>
        </row>
        <row r="2162">
          <cell r="A2162">
            <v>72697</v>
          </cell>
          <cell r="B2162" t="str">
            <v>REDUCAO DE PVC SOLDAVEL AGUA FRIA 110X60MM - FORNECIMENTO E INSTALACAO</v>
          </cell>
          <cell r="C2162" t="str">
            <v>UN</v>
          </cell>
          <cell r="D2162">
            <v>28.42</v>
          </cell>
        </row>
        <row r="2163">
          <cell r="A2163">
            <v>72698</v>
          </cell>
          <cell r="B2163" t="str">
            <v>REDUCAO DE PVC SOLDAVEL AGUA FRIA 110X75MM - FORNECIMENTO E INSTALACAO</v>
          </cell>
          <cell r="C2163" t="str">
            <v>UN</v>
          </cell>
          <cell r="D2163">
            <v>32.76</v>
          </cell>
        </row>
        <row r="2164">
          <cell r="A2164">
            <v>72699</v>
          </cell>
          <cell r="B2164" t="str">
            <v>REDUCAO DE PVC SOLDAVEL AGUA FRIA 32X20MM - FORNECIMENTO E INSTALACAO</v>
          </cell>
          <cell r="C2164" t="str">
            <v>UN</v>
          </cell>
          <cell r="D2164">
            <v>3.7</v>
          </cell>
        </row>
        <row r="2165">
          <cell r="A2165">
            <v>72700</v>
          </cell>
          <cell r="B2165" t="str">
            <v>REDUCAO DE PVC SOLDAVEL AGUA FRIA 40X20MM - FORNECIMENTO E INSTALACAO</v>
          </cell>
          <cell r="C2165" t="str">
            <v>UN</v>
          </cell>
          <cell r="D2165">
            <v>4.5599999999999996</v>
          </cell>
        </row>
        <row r="2166">
          <cell r="A2166">
            <v>72701</v>
          </cell>
          <cell r="B2166" t="str">
            <v>REDUCAO DE PVC SOLDAVEL AGUA FRIA 40X25MM - FORNECIMENTO E INSTALACAO</v>
          </cell>
          <cell r="C2166" t="str">
            <v>UN</v>
          </cell>
          <cell r="D2166">
            <v>5.16</v>
          </cell>
        </row>
        <row r="2167">
          <cell r="A2167">
            <v>72702</v>
          </cell>
          <cell r="B2167" t="str">
            <v>REDUCAO DE PVC SOLDAVEL AGUA FRIA 50X20MM - FORNECIMENTO E INSTALACAO</v>
          </cell>
          <cell r="C2167" t="str">
            <v>UN</v>
          </cell>
          <cell r="D2167">
            <v>5.89</v>
          </cell>
        </row>
        <row r="2168">
          <cell r="A2168">
            <v>72703</v>
          </cell>
          <cell r="B2168" t="str">
            <v>REDUCAO DE PVC SOLDAVEL AGUA FRIA 50X25MM - FORNECIMENTO E INSTALACAO</v>
          </cell>
          <cell r="C2168" t="str">
            <v>UN</v>
          </cell>
          <cell r="D2168">
            <v>6.2</v>
          </cell>
        </row>
        <row r="2169">
          <cell r="A2169">
            <v>72704</v>
          </cell>
          <cell r="B2169" t="str">
            <v>REDUCAO DE PVC SOLDAVEL AGUA FRIA 50X32MM - FORNECIMENTO E INSTALACAO</v>
          </cell>
          <cell r="C2169" t="str">
            <v>UN</v>
          </cell>
          <cell r="D2169">
            <v>7.3</v>
          </cell>
        </row>
        <row r="2170">
          <cell r="A2170">
            <v>72705</v>
          </cell>
          <cell r="B2170" t="str">
            <v>REDUCAO DE PVC SOLDAVEL AGUA FRIA 60X25MM - FORNECIMENTO E INSTALACAO</v>
          </cell>
          <cell r="C2170" t="str">
            <v>UN</v>
          </cell>
          <cell r="D2170">
            <v>10.31</v>
          </cell>
        </row>
        <row r="2171">
          <cell r="A2171">
            <v>72706</v>
          </cell>
          <cell r="B2171" t="str">
            <v>REDUCAO DE PVC SOLDAVEL AGUA FRIA 60X32MM - FORNECIMENTO E INSTALACAO</v>
          </cell>
          <cell r="C2171" t="str">
            <v>UN</v>
          </cell>
          <cell r="D2171">
            <v>12.26</v>
          </cell>
        </row>
        <row r="2172">
          <cell r="A2172">
            <v>72707</v>
          </cell>
          <cell r="B2172" t="str">
            <v>REDUCAO DE PVC SOLDAVEL AGUA FRIA 60X40MM - FORNECIMENTO E INSTALACAO</v>
          </cell>
          <cell r="C2172" t="str">
            <v>UN</v>
          </cell>
          <cell r="D2172">
            <v>13.8</v>
          </cell>
        </row>
        <row r="2173">
          <cell r="A2173">
            <v>72708</v>
          </cell>
          <cell r="B2173" t="str">
            <v>REDUCAO DE PVC SOLDAVEL AGUA FRIA 60X50MM - FORNECIMENTO E INSTALACAO</v>
          </cell>
          <cell r="C2173" t="str">
            <v>UN</v>
          </cell>
          <cell r="D2173">
            <v>16.989999999999998</v>
          </cell>
        </row>
        <row r="2174">
          <cell r="A2174">
            <v>72709</v>
          </cell>
          <cell r="B2174" t="str">
            <v>REDUCAO DE PVC SOLDAVEL AGUA FRIA 75X50MM - FORNECIMENTO E INSTALACAO</v>
          </cell>
          <cell r="C2174" t="str">
            <v>UN</v>
          </cell>
          <cell r="D2174">
            <v>19.18</v>
          </cell>
        </row>
        <row r="2175">
          <cell r="A2175">
            <v>72710</v>
          </cell>
          <cell r="B2175" t="str">
            <v>REDUCAO DE PVC SOLDAVEL AGUA FRIA 85X60MM - FORNECIMENTO E INSTALACAO</v>
          </cell>
          <cell r="C2175" t="str">
            <v>UN</v>
          </cell>
          <cell r="D2175">
            <v>21.19</v>
          </cell>
        </row>
        <row r="2176">
          <cell r="A2176">
            <v>72712</v>
          </cell>
          <cell r="B2176" t="str">
            <v>TE DE ACO GALVANIZADO 1.1/2" - FORNECIMENTO E INSTALACAO</v>
          </cell>
          <cell r="C2176" t="str">
            <v>UN</v>
          </cell>
          <cell r="D2176">
            <v>34.22</v>
          </cell>
        </row>
        <row r="2177">
          <cell r="A2177">
            <v>72713</v>
          </cell>
          <cell r="B2177" t="str">
            <v>TE DE ACO GALVANIZADO 1.1/4" - FORNECIMENTO E INSTALACAO</v>
          </cell>
          <cell r="C2177" t="str">
            <v>UN</v>
          </cell>
          <cell r="D2177">
            <v>28.6</v>
          </cell>
        </row>
        <row r="2178">
          <cell r="A2178">
            <v>72714</v>
          </cell>
          <cell r="B2178" t="str">
            <v>TE DE ACO GALVANIZADO 1" - FORNECIMENTO E INSTALACAO</v>
          </cell>
          <cell r="C2178" t="str">
            <v>UN</v>
          </cell>
          <cell r="D2178">
            <v>19.93</v>
          </cell>
        </row>
        <row r="2179">
          <cell r="A2179">
            <v>72715</v>
          </cell>
          <cell r="B2179" t="str">
            <v>TE DE ACO GALVANIZADO 2.1/2" - FORNECIMENTO E INSTALACAO</v>
          </cell>
          <cell r="C2179" t="str">
            <v>UN</v>
          </cell>
          <cell r="D2179">
            <v>78.67</v>
          </cell>
        </row>
        <row r="2180">
          <cell r="A2180">
            <v>72716</v>
          </cell>
          <cell r="B2180" t="str">
            <v>TE DE ACO GALVANIZADO 2" - FORNECIMENTO E INSTALACAO</v>
          </cell>
          <cell r="C2180" t="str">
            <v>UN</v>
          </cell>
          <cell r="D2180">
            <v>51.71</v>
          </cell>
        </row>
        <row r="2181">
          <cell r="A2181">
            <v>72717</v>
          </cell>
          <cell r="B2181" t="str">
            <v>TE DE ACO GALVANIZADO 3" - FORNECIMENTO E INSTALACAO</v>
          </cell>
          <cell r="C2181" t="str">
            <v>UN</v>
          </cell>
          <cell r="D2181">
            <v>97.58</v>
          </cell>
        </row>
        <row r="2182">
          <cell r="A2182">
            <v>72718</v>
          </cell>
          <cell r="B2182" t="str">
            <v>TE DE ACO GALVANIZADO 3/4" - FORNECIMENTO E INSTALACAO</v>
          </cell>
          <cell r="C2182" t="str">
            <v>UN</v>
          </cell>
          <cell r="D2182">
            <v>15.16</v>
          </cell>
        </row>
        <row r="2183">
          <cell r="A2183">
            <v>72719</v>
          </cell>
          <cell r="B2183" t="str">
            <v>TE DE ACO GALVANIZADO 4" - FORNECIMENTO E INSTALACAO</v>
          </cell>
          <cell r="C2183" t="str">
            <v>UN</v>
          </cell>
          <cell r="D2183">
            <v>172.24</v>
          </cell>
        </row>
        <row r="2184">
          <cell r="A2184">
            <v>72720</v>
          </cell>
          <cell r="B2184" t="str">
            <v>TE DE ACO GALVANIZADO 5" - FORNECIMENTO E INSTALACAO</v>
          </cell>
          <cell r="C2184" t="str">
            <v>UN</v>
          </cell>
          <cell r="D2184">
            <v>305.7</v>
          </cell>
        </row>
        <row r="2185">
          <cell r="A2185">
            <v>72721</v>
          </cell>
          <cell r="B2185" t="str">
            <v>TE DE ACO GALVANIZADO 6" - FORNECIMENTO E INSTALACAO</v>
          </cell>
          <cell r="C2185" t="str">
            <v>UN</v>
          </cell>
          <cell r="D2185">
            <v>429.17</v>
          </cell>
        </row>
        <row r="2186">
          <cell r="A2186">
            <v>72722</v>
          </cell>
          <cell r="B2186" t="str">
            <v>TE DE COBRE 15MM LIGAÇÃO SOLDADA - FORNECIMENTO E INSTALACAO</v>
          </cell>
          <cell r="C2186" t="str">
            <v>UN</v>
          </cell>
          <cell r="D2186">
            <v>6.82</v>
          </cell>
        </row>
        <row r="2187">
          <cell r="A2187">
            <v>72723</v>
          </cell>
          <cell r="B2187" t="str">
            <v>TE DE COBRE 22MM LIGAÇÃO SOLDADA - FORNECIMENTO E INSTALACAO</v>
          </cell>
          <cell r="C2187" t="str">
            <v>UN</v>
          </cell>
          <cell r="D2187">
            <v>11.62</v>
          </cell>
        </row>
        <row r="2188">
          <cell r="A2188">
            <v>72724</v>
          </cell>
          <cell r="B2188" t="str">
            <v>TE DE COBRE 28MM LIGAÇÃO SOLDADA - FORNECIMENTO E INSTALACAO</v>
          </cell>
          <cell r="C2188" t="str">
            <v>UN</v>
          </cell>
          <cell r="D2188">
            <v>17.62</v>
          </cell>
        </row>
        <row r="2189">
          <cell r="A2189">
            <v>72725</v>
          </cell>
          <cell r="B2189" t="str">
            <v>TE DE COBRE 35MM LIGAÇÃO SOLDADA - FORNECIMENTO E INSTALACAO</v>
          </cell>
          <cell r="C2189" t="str">
            <v>UN</v>
          </cell>
          <cell r="D2189">
            <v>36.549999999999997</v>
          </cell>
        </row>
        <row r="2190">
          <cell r="A2190">
            <v>72726</v>
          </cell>
          <cell r="B2190" t="str">
            <v>TE DE COBRE 42MM LIGAÇÃO SOLDADA - FORNECIMENTO E INSTALACAO</v>
          </cell>
          <cell r="C2190" t="str">
            <v>UN</v>
          </cell>
          <cell r="D2190">
            <v>48.27</v>
          </cell>
        </row>
        <row r="2191">
          <cell r="A2191">
            <v>72727</v>
          </cell>
          <cell r="B2191" t="str">
            <v>TE DE COBRE 54MM LIGAÇÃO SOLDADA - FORNECIMENTO E INSTALACAO</v>
          </cell>
          <cell r="C2191" t="str">
            <v>UN</v>
          </cell>
          <cell r="D2191">
            <v>96.32</v>
          </cell>
        </row>
        <row r="2192">
          <cell r="A2192">
            <v>72728</v>
          </cell>
          <cell r="B2192" t="str">
            <v>TE DE COBRE 66MM LIGAÇÃO SOLDADA - FORNECIMENTO E INSTALACAO</v>
          </cell>
          <cell r="C2192" t="str">
            <v>UN</v>
          </cell>
          <cell r="D2192">
            <v>211.56</v>
          </cell>
        </row>
        <row r="2193">
          <cell r="A2193">
            <v>72729</v>
          </cell>
          <cell r="B2193" t="str">
            <v>TE DE COBRE 79MM LIGAÇÃO SOLDADA - FORNECIMENTO E INSTALACAO</v>
          </cell>
          <cell r="C2193" t="str">
            <v>UN</v>
          </cell>
          <cell r="D2193">
            <v>339.19</v>
          </cell>
        </row>
        <row r="2194">
          <cell r="A2194">
            <v>72773</v>
          </cell>
          <cell r="B2194" t="str">
            <v>JUNCAO PVC ESGOTO 75X50MM - FORNECIMENTO E INSTALACAO</v>
          </cell>
          <cell r="C2194" t="str">
            <v>UN</v>
          </cell>
          <cell r="D2194">
            <v>21.15</v>
          </cell>
        </row>
        <row r="2195">
          <cell r="A2195">
            <v>72774</v>
          </cell>
          <cell r="B2195" t="str">
            <v>JUNCAO PVC ESGOTO 100X50MM - FORNECIMENTO E INSTALACAO</v>
          </cell>
          <cell r="C2195" t="str">
            <v>UN</v>
          </cell>
          <cell r="D2195">
            <v>24.87</v>
          </cell>
        </row>
        <row r="2196">
          <cell r="A2196">
            <v>72775</v>
          </cell>
          <cell r="B2196" t="str">
            <v>JUNCAO PVC ESGOTO 100X75MM - FORNECIMENTO E INSTALACAO</v>
          </cell>
          <cell r="C2196" t="str">
            <v>UN</v>
          </cell>
          <cell r="D2196">
            <v>32.71</v>
          </cell>
        </row>
        <row r="2197">
          <cell r="A2197">
            <v>72783</v>
          </cell>
          <cell r="B2197" t="str">
            <v>ADAPTADOR PVC SOLDAVEL COM FLANGES E ANEL PARA CAIXA D'AGUA 20MMX1/2" - FORNECIMENTO E INSTALACAO</v>
          </cell>
          <cell r="C2197" t="str">
            <v>UN</v>
          </cell>
          <cell r="D2197">
            <v>8.6999999999999993</v>
          </cell>
        </row>
        <row r="2198">
          <cell r="A2198">
            <v>72784</v>
          </cell>
          <cell r="B2198" t="str">
            <v>ADAPTADOR PVC SOLDAVEL COM FLANGES E ANEL PARA CAIXA D'AGUA 25MMX3/4" - FORNECIMENTO E INSTALACAO</v>
          </cell>
          <cell r="C2198" t="str">
            <v>UN</v>
          </cell>
          <cell r="D2198">
            <v>10.3</v>
          </cell>
        </row>
        <row r="2199">
          <cell r="A2199">
            <v>72785</v>
          </cell>
          <cell r="B2199" t="str">
            <v>ADAPTADOR PVC SOLDAVEL COM FLANGES E ANEL PARA CAIXA D'AGUA 32MMX1" - FORNECIMENTO E INSTALACAO</v>
          </cell>
          <cell r="C2199" t="str">
            <v>UN</v>
          </cell>
          <cell r="D2199">
            <v>16.45</v>
          </cell>
        </row>
        <row r="2200">
          <cell r="A2200">
            <v>72786</v>
          </cell>
          <cell r="B2200" t="str">
            <v>ADAPTADOR PVC SOLDAVEL COM FLANGES E ANEL PARA CAIXA D'AGUA 40MMX1.1/4" - FORNECIMENTO E INSTALACAO</v>
          </cell>
          <cell r="C2200" t="str">
            <v>UN</v>
          </cell>
          <cell r="D2200">
            <v>21.87</v>
          </cell>
        </row>
        <row r="2201">
          <cell r="A2201">
            <v>72787</v>
          </cell>
          <cell r="B2201" t="str">
            <v>ADAPTADOR PVC SOLDAVEL COM FLANGES E ANEL PARA CAIXA D'AGUA 50MMX1.1/2" - FORNECIMENTO E INSTALACAO</v>
          </cell>
          <cell r="C2201" t="str">
            <v>UN</v>
          </cell>
          <cell r="D2201">
            <v>22.65</v>
          </cell>
        </row>
        <row r="2202">
          <cell r="A2202">
            <v>72788</v>
          </cell>
          <cell r="B2202" t="str">
            <v>ADAPTADOR PVC SOLDAVEL COM FLANGES E ANEL PARA CAIXA D'AGUA 60MMX2" - FORNECIMENTO E INSTALACAO</v>
          </cell>
          <cell r="C2202" t="str">
            <v>UN</v>
          </cell>
          <cell r="D2202">
            <v>33.92</v>
          </cell>
        </row>
        <row r="2203">
          <cell r="A2203">
            <v>72789</v>
          </cell>
          <cell r="B2203" t="str">
            <v>ADAPTADOR PVC SOLDAVEL COM FLANGES LIVRES PARA CAIXA D'AGUA 25MMX3/4" - FORNECIMENTO E INSTALACAO</v>
          </cell>
          <cell r="C2203" t="str">
            <v>UN</v>
          </cell>
          <cell r="D2203">
            <v>11.44</v>
          </cell>
        </row>
        <row r="2204">
          <cell r="A2204">
            <v>72790</v>
          </cell>
          <cell r="B2204" t="str">
            <v>ADAPTADOR PVC SOLDAVEL COM FLANGES LIVRES PARA CAIXA D'AGUA 32MMX1" - FORNECIMENTO E INSTALACAO</v>
          </cell>
          <cell r="C2204" t="str">
            <v>UN</v>
          </cell>
          <cell r="D2204">
            <v>13.77</v>
          </cell>
        </row>
        <row r="2205">
          <cell r="A2205">
            <v>72791</v>
          </cell>
          <cell r="B2205" t="str">
            <v>ADAPTADOR PVC SOLDAVEL COM FLANGES LIVRES PARA CAIXA D'AGUA 40MMX1.1/4" - FORNECIMENTO E INSTALACAO</v>
          </cell>
          <cell r="C2205" t="str">
            <v>UN</v>
          </cell>
          <cell r="D2205">
            <v>17.600000000000001</v>
          </cell>
        </row>
        <row r="2206">
          <cell r="A2206">
            <v>72792</v>
          </cell>
          <cell r="B2206" t="str">
            <v>ADAPTADOR PVC SOLDAVEL COM FLANGES LIVRES PARA CAIXA D'AGUA 50MMX1.1/2" - FORNECIMENTO E INSTALACAO</v>
          </cell>
          <cell r="C2206" t="str">
            <v>UN</v>
          </cell>
          <cell r="D2206">
            <v>30.69</v>
          </cell>
        </row>
        <row r="2207">
          <cell r="A2207">
            <v>72793</v>
          </cell>
          <cell r="B2207" t="str">
            <v>ADAPTADOR PVC SOLDAVEL COM FLANGES LIVRES PARA CAIXA D'AGUA 60MMX2" - FORNECIMENTO E INSTALACAO</v>
          </cell>
          <cell r="C2207" t="str">
            <v>UN</v>
          </cell>
          <cell r="D2207">
            <v>42.81</v>
          </cell>
        </row>
        <row r="2208">
          <cell r="A2208">
            <v>72794</v>
          </cell>
          <cell r="B2208" t="str">
            <v>ADAPTADOR PVC SOLDAVEL COM FLANGES LIVRES PARA CAIXA D'AGUA 75MMX2.1/2" - FORNECIMENTO E INSTALACAO</v>
          </cell>
          <cell r="C2208" t="str">
            <v>UN</v>
          </cell>
          <cell r="D2208">
            <v>127.48</v>
          </cell>
        </row>
        <row r="2209">
          <cell r="A2209">
            <v>72795</v>
          </cell>
          <cell r="B2209" t="str">
            <v>ADAPTADOR PVC SOLDAVEL COM FLANGES LIVRES PARA CAIXA D'AGUA 85MMX3" - FORNECIMENTO E INSTALACAO</v>
          </cell>
          <cell r="C2209" t="str">
            <v>UN</v>
          </cell>
          <cell r="D2209">
            <v>173.98</v>
          </cell>
        </row>
        <row r="2210">
          <cell r="A2210">
            <v>72796</v>
          </cell>
          <cell r="B2210" t="str">
            <v>ADAPTADOR PVC SOLDAVEL COM FLANGES LIVRES PARA CAIXA D'AGUA 110MMX4" - FORNECIMENTO E INSTALACAO</v>
          </cell>
          <cell r="C2210" t="str">
            <v>UN</v>
          </cell>
          <cell r="D2210">
            <v>242.28</v>
          </cell>
        </row>
        <row r="2211">
          <cell r="A2211">
            <v>72797</v>
          </cell>
          <cell r="B2211" t="str">
            <v>ADAPTADOR PVC SOLDAVEL LONGO COM FLANGES LIVRES PARA CAIXA D'AGUA 25MMX3/4" - FORNECIMENTO E INSTALACAO</v>
          </cell>
          <cell r="C2211" t="str">
            <v>UN</v>
          </cell>
          <cell r="D2211">
            <v>12.98</v>
          </cell>
        </row>
        <row r="2212">
          <cell r="A2212">
            <v>72798</v>
          </cell>
          <cell r="B2212" t="str">
            <v>ADAPTADOR PVC SOLDAVEL LONGO COM FLANGES LIVRES PARA CAIXA D'AGUA 32MMX1" - FORNECIMENTO E INSTALACAO</v>
          </cell>
          <cell r="C2212" t="str">
            <v>UN</v>
          </cell>
          <cell r="D2212">
            <v>15.59</v>
          </cell>
        </row>
        <row r="2213">
          <cell r="A2213">
            <v>72800</v>
          </cell>
          <cell r="B2213" t="str">
            <v>ADAPTADOR PVC SOLDAVEL LONGO COM FLANGES LIVRES PARA CAIXA D'AGUA 40MMX1.1/4" - FORNECIMENTO E INSTALACAO</v>
          </cell>
          <cell r="C2213" t="str">
            <v>UN</v>
          </cell>
          <cell r="D2213">
            <v>19.940000000000001</v>
          </cell>
        </row>
        <row r="2214">
          <cell r="A2214">
            <v>72801</v>
          </cell>
          <cell r="B2214" t="str">
            <v>ADAPTADOR PVC SOLDAVEL LONGO COM FLANGES LIVRES PARA CAIXA D'AGUA 50MMX1.1/2" - FORNECIMENTO E INSTALACAO</v>
          </cell>
          <cell r="C2214" t="str">
            <v>UN</v>
          </cell>
          <cell r="D2214">
            <v>34.97</v>
          </cell>
        </row>
        <row r="2215">
          <cell r="A2215">
            <v>72802</v>
          </cell>
          <cell r="B2215" t="str">
            <v>ADAPTADOR PVC SOLDAVEL LONGO COM FLANGES LIVRES PARA CAIXA D'AGUA 60MMX2" - FORNECIMENTO E INSTALACAO</v>
          </cell>
          <cell r="C2215" t="str">
            <v>UN</v>
          </cell>
          <cell r="D2215">
            <v>46.75</v>
          </cell>
        </row>
        <row r="2216">
          <cell r="A2216">
            <v>72803</v>
          </cell>
          <cell r="B2216" t="str">
            <v>ADAPTADOR PVC SOLDAVEL LONGO COM FLANGES LIVRES PARA CAIXA D'AGUA 75MMX2.1/2" - FORNECIMENTO E INSTALACAO</v>
          </cell>
          <cell r="C2216" t="str">
            <v>UN</v>
          </cell>
          <cell r="D2216">
            <v>139.68</v>
          </cell>
        </row>
        <row r="2217">
          <cell r="A2217">
            <v>72804</v>
          </cell>
          <cell r="B2217" t="str">
            <v>ADAPTADOR PVC SOLDAVEL LONGO COM FLANGES LIVRES PARA CAIXA D'AGUA 85MMX3" - FORNECIMENTO E INSTALACAO</v>
          </cell>
          <cell r="C2217" t="str">
            <v>UN</v>
          </cell>
          <cell r="D2217">
            <v>189.12</v>
          </cell>
        </row>
        <row r="2218">
          <cell r="A2218">
            <v>72805</v>
          </cell>
          <cell r="B2218" t="str">
            <v>ADAPTADOR PVC SOLDAVEL LONGO COM FLANGES LIVRES PARA CAIXA D'AGUA 110MMX4" - FORNECIMENTO E INSTALACAO</v>
          </cell>
          <cell r="C2218" t="str">
            <v>UN</v>
          </cell>
          <cell r="D2218">
            <v>265.99</v>
          </cell>
        </row>
        <row r="2219">
          <cell r="A2219">
            <v>72806</v>
          </cell>
          <cell r="B2219" t="str">
            <v>TE PVC SOLDAVEL COM ROSCA AGUA FRIA 20MMX20MMX1/2" - FORNECIMENTO E INSTALACAO</v>
          </cell>
          <cell r="C2219" t="str">
            <v>UN</v>
          </cell>
          <cell r="D2219">
            <v>4.78</v>
          </cell>
        </row>
        <row r="2220">
          <cell r="A2220">
            <v>72808</v>
          </cell>
          <cell r="B2220" t="str">
            <v>TE PVC SOLDAVEL COM ROSCA AGUA FRIA 25MMX25MMX1/2" - FORNECIMENTO E INSTALACAO</v>
          </cell>
          <cell r="C2220" t="str">
            <v>UN</v>
          </cell>
          <cell r="D2220">
            <v>6.06</v>
          </cell>
        </row>
        <row r="2221">
          <cell r="A2221">
            <v>72809</v>
          </cell>
          <cell r="B2221" t="str">
            <v>TE PVC SOLDAVEL COM ROSCA AGUA FRIA 32MMX32MMX3/4" - FORNECIMENTO E INSTALACAO</v>
          </cell>
          <cell r="C2221" t="str">
            <v>UN</v>
          </cell>
          <cell r="D2221">
            <v>11.18</v>
          </cell>
        </row>
        <row r="2222">
          <cell r="A2222">
            <v>73636</v>
          </cell>
          <cell r="B2222" t="str">
            <v>TE PVC SOLDAVEL COM ROSCA METALICA AGUA FRIA 25MMX25MMX1/2" - FORNECIMENTO E INSTALACAO</v>
          </cell>
          <cell r="C2222" t="str">
            <v>UN</v>
          </cell>
          <cell r="D2222">
            <v>12.84</v>
          </cell>
        </row>
        <row r="2223">
          <cell r="A2223">
            <v>73637</v>
          </cell>
          <cell r="B2223" t="str">
            <v>TE PVC SOLDAVEL COM ROSCA METALICA AGUA FRIA 25MMX25MMX3/4" - FORNECIMENTO E INSTALACAO</v>
          </cell>
          <cell r="C2223" t="str">
            <v>UN</v>
          </cell>
          <cell r="D2223">
            <v>13.03</v>
          </cell>
        </row>
        <row r="2224">
          <cell r="A2224">
            <v>73638</v>
          </cell>
          <cell r="B2224" t="str">
            <v>TE PVC SOLDAVEL COM ROSCA METALICA AGUA FRIA 20MMX20MMX1/2" - FORNECIMENTO E INSTALACAO</v>
          </cell>
          <cell r="C2224" t="str">
            <v>UN</v>
          </cell>
          <cell r="D2224">
            <v>12.01</v>
          </cell>
        </row>
        <row r="2225">
          <cell r="A2225">
            <v>73639</v>
          </cell>
          <cell r="B2225" t="str">
            <v>JOELHO PVC SOLDAVEL COM ROSCA METALICA 90º AGUA FRIA 25MMX3/4" - FORNECIMENTO E INSTALACAO</v>
          </cell>
          <cell r="C2225" t="str">
            <v>UN</v>
          </cell>
          <cell r="D2225">
            <v>9.25</v>
          </cell>
        </row>
        <row r="2226">
          <cell r="A2226">
            <v>73640</v>
          </cell>
          <cell r="B2226" t="str">
            <v>JOELHO PVC SOLDAVEL COM ROSCA METALICA 90º ÁGUA FRIA 20MMX1/2" - FORNECIMENTO E INSTALACAO</v>
          </cell>
          <cell r="C2226" t="str">
            <v>UN</v>
          </cell>
          <cell r="D2226">
            <v>8.09</v>
          </cell>
        </row>
        <row r="2227">
          <cell r="A2227">
            <v>73641</v>
          </cell>
          <cell r="B2227" t="str">
            <v>JOELHO PVC SOLDAVEL COM ROSCA 90º AGUA FRIA 25MMX1/2" - FORNECIMENTO E INSTALACAO</v>
          </cell>
          <cell r="C2227" t="str">
            <v>UN</v>
          </cell>
          <cell r="D2227">
            <v>6</v>
          </cell>
        </row>
        <row r="2228">
          <cell r="A2228">
            <v>73642</v>
          </cell>
          <cell r="B2228" t="str">
            <v>JOELHO PVC SOLDAVEL COM ROSCA METALICA 90º AGUA FRIA 25MMX1/2" - FORNECIMENTO E INSTALACAO</v>
          </cell>
          <cell r="C2228" t="str">
            <v>UN</v>
          </cell>
          <cell r="D2228">
            <v>8.44</v>
          </cell>
        </row>
        <row r="2229">
          <cell r="A2229">
            <v>73643</v>
          </cell>
          <cell r="B2229" t="str">
            <v>JOELHO PVC SOLDAVEL COM ROSCA 90º AGUA FRIA 25MMX3/4" - FORNECIMENTO E INSTALACAO</v>
          </cell>
          <cell r="C2229" t="str">
            <v>UN</v>
          </cell>
          <cell r="D2229">
            <v>6.51</v>
          </cell>
        </row>
        <row r="2230">
          <cell r="A2230">
            <v>73644</v>
          </cell>
          <cell r="B2230" t="str">
            <v>JOELHO PVC SOLDAVEL COM ROSCA 90º AGUA FRIA 20MMX1/2" - FORNECIMENTO E INSTALACAO</v>
          </cell>
          <cell r="C2230" t="str">
            <v>UN</v>
          </cell>
          <cell r="D2230">
            <v>5.7</v>
          </cell>
        </row>
        <row r="2231">
          <cell r="A2231">
            <v>73645</v>
          </cell>
          <cell r="B2231" t="str">
            <v>LUVA PVC SOLDAVEL COM ROSCA AGUA FRIA 50MMX1.1/2" - FORNECIMENTO E INSTALACAO</v>
          </cell>
          <cell r="C2231" t="str">
            <v>UN</v>
          </cell>
          <cell r="D2231">
            <v>21.89</v>
          </cell>
        </row>
        <row r="2232">
          <cell r="A2232">
            <v>73646</v>
          </cell>
          <cell r="B2232" t="str">
            <v>LUVA PVC SOLDAVEL COM ROSCA AGUA FRIA 40MMX1.1/4" - FORNECIMENTO E INSTALACAO</v>
          </cell>
          <cell r="C2232" t="str">
            <v>UN</v>
          </cell>
          <cell r="D2232">
            <v>12.39</v>
          </cell>
        </row>
        <row r="2233">
          <cell r="A2233">
            <v>73647</v>
          </cell>
          <cell r="B2233" t="str">
            <v>LUVA PVC SOLDAVEL COM ROSCA AGUA FRIA 32MMX1" - FORNECIMENTO E INSTALACAO</v>
          </cell>
          <cell r="C2233" t="str">
            <v>UN</v>
          </cell>
          <cell r="D2233">
            <v>5.84</v>
          </cell>
        </row>
        <row r="2234">
          <cell r="A2234">
            <v>73648</v>
          </cell>
          <cell r="B2234" t="str">
            <v>LUVA PVC SOLDAVEL COM ROSCA AGUA FRIA 25MMX3/4" - FORNECIMENTO E INSTALACAO</v>
          </cell>
          <cell r="C2234" t="str">
            <v>UN</v>
          </cell>
          <cell r="D2234">
            <v>4.2699999999999996</v>
          </cell>
        </row>
        <row r="2235">
          <cell r="A2235">
            <v>73649</v>
          </cell>
          <cell r="B2235" t="str">
            <v>LUVA PVC SOLDAVEL COM ROSCA AGUA FRIA 20MMX1/2" - FORNECIMENTO E INSTALACAO</v>
          </cell>
          <cell r="C2235" t="str">
            <v>UN</v>
          </cell>
          <cell r="D2235">
            <v>4.12</v>
          </cell>
        </row>
        <row r="2236">
          <cell r="A2236">
            <v>73650</v>
          </cell>
          <cell r="B2236" t="str">
            <v>LUVA PVC SOLDAVEL COM ROSCA AGUA FRIA 25MMX1/2" - FORNECIMENTO E INSTALACAO</v>
          </cell>
          <cell r="C2236" t="str">
            <v>UN</v>
          </cell>
          <cell r="D2236">
            <v>4.6100000000000003</v>
          </cell>
        </row>
        <row r="2237">
          <cell r="A2237">
            <v>73691</v>
          </cell>
          <cell r="B2237" t="str">
            <v>LUVA PVC SOLDAVEL COM ROSCA METALICA AGUA FRIA 25MMX1/2" - FORNECIMENTO E INSTALACAO</v>
          </cell>
          <cell r="C2237" t="str">
            <v>UN</v>
          </cell>
          <cell r="D2237">
            <v>5.5</v>
          </cell>
        </row>
        <row r="2238">
          <cell r="A2238" t="str">
            <v>74059/1</v>
          </cell>
          <cell r="B2238" t="str">
            <v>LUVA DE COBRE SEM ANEL SOLDA 22MM - FORNECIMENTO E INSTALACAO</v>
          </cell>
          <cell r="C2238" t="str">
            <v>UN</v>
          </cell>
          <cell r="D2238">
            <v>7.18</v>
          </cell>
        </row>
        <row r="2239">
          <cell r="A2239" t="str">
            <v>74059/2</v>
          </cell>
          <cell r="B2239" t="str">
            <v>LUVA DE COBRE SEM ANEL SOLDA 35MM - FORNECIMENTO E INSTALAÇÃO</v>
          </cell>
          <cell r="C2239" t="str">
            <v>UN</v>
          </cell>
          <cell r="D2239">
            <v>21.21</v>
          </cell>
        </row>
        <row r="2240">
          <cell r="A2240" t="str">
            <v>74060/1</v>
          </cell>
          <cell r="B2240" t="str">
            <v>COTOVELO DE COBRE SEM ANEL SOLDA 22MM - FORNECIMENTO E INSTALACAO</v>
          </cell>
          <cell r="C2240" t="str">
            <v>UN</v>
          </cell>
          <cell r="D2240">
            <v>11.28</v>
          </cell>
        </row>
        <row r="2241">
          <cell r="A2241" t="str">
            <v>74060/2</v>
          </cell>
          <cell r="B2241" t="str">
            <v>COTOVELO DE COBRE SEM ANEL SOLDA 28MM - FORNECIMENTO E INSTALACAO</v>
          </cell>
          <cell r="C2241" t="str">
            <v>UN</v>
          </cell>
          <cell r="D2241">
            <v>13.97</v>
          </cell>
        </row>
        <row r="2242">
          <cell r="A2242" t="str">
            <v>74060/3</v>
          </cell>
          <cell r="B2242" t="str">
            <v>COTOVELO DE COBRE SEM ANEL SOLDA 35MM - FORNECIMENTO E INSTALACAO</v>
          </cell>
          <cell r="C2242" t="str">
            <v>UN</v>
          </cell>
          <cell r="D2242">
            <v>32.96</v>
          </cell>
        </row>
        <row r="2243">
          <cell r="A2243" t="str">
            <v>74060/4</v>
          </cell>
          <cell r="B2243" t="str">
            <v>COTOVELO DE COBRE SEM ANEL SOLDA 15MM - FORNECIMENTO E INSTALACAO</v>
          </cell>
          <cell r="C2243" t="str">
            <v>UN</v>
          </cell>
          <cell r="D2243">
            <v>7.08</v>
          </cell>
        </row>
        <row r="2244">
          <cell r="A2244" t="str">
            <v>73735/1</v>
          </cell>
          <cell r="B2244" t="str">
            <v>RESERV. DE FIBROC. CAP=1000L C/ACESSORIOS</v>
          </cell>
          <cell r="C2244" t="str">
            <v>UN</v>
          </cell>
          <cell r="D2244">
            <v>594.36</v>
          </cell>
        </row>
        <row r="2245">
          <cell r="A2245" t="str">
            <v>74051/1</v>
          </cell>
          <cell r="B2245" t="str">
            <v>CAIXA DE GORDURA DUPLA EM CONCRETO PRE-MOLDADO DN 60MM COM TAMPA - FORNECIMENTO E INSTALACAO</v>
          </cell>
          <cell r="C2245" t="str">
            <v>UN</v>
          </cell>
          <cell r="D2245">
            <v>148.99</v>
          </cell>
        </row>
        <row r="2246">
          <cell r="A2246" t="str">
            <v>74051/2</v>
          </cell>
          <cell r="B2246" t="str">
            <v>CAIXA DE GORDURA SIMPLES EM CONCRETO PRE-MOLDADO DN 40MM COM TAMPA - FORNECIMENTO E INSTALACAO</v>
          </cell>
          <cell r="C2246" t="str">
            <v>UN</v>
          </cell>
          <cell r="D2246">
            <v>93.18</v>
          </cell>
        </row>
        <row r="2247">
          <cell r="A2247" t="str">
            <v>74058/1</v>
          </cell>
          <cell r="B2247" t="str">
            <v>TORNEIRA DE BOIA REAL 1/2 COM BALAO METALICO - FORNECIMENTO E INSTALACAO</v>
          </cell>
          <cell r="C2247" t="str">
            <v>UN</v>
          </cell>
          <cell r="D2247">
            <v>33.5</v>
          </cell>
        </row>
        <row r="2248">
          <cell r="A2248" t="str">
            <v>74058/2</v>
          </cell>
          <cell r="B2248" t="str">
            <v>TORNEIRA DE BOIA VAZAO TOTAL 3/4 COM BALAO PLASTICO - FORNECIMENTO E INSTALACAO</v>
          </cell>
          <cell r="C2248" t="str">
            <v>UN</v>
          </cell>
          <cell r="D2248">
            <v>46.57</v>
          </cell>
        </row>
        <row r="2249">
          <cell r="A2249" t="str">
            <v>74058/3</v>
          </cell>
          <cell r="B2249" t="str">
            <v>TORNEIRA DE BOIA REAL 1 COM BALAO PLASTICO - FORNECIMENTO E INSTALACAO</v>
          </cell>
          <cell r="C2249" t="str">
            <v>UN</v>
          </cell>
          <cell r="D2249">
            <v>46.77</v>
          </cell>
        </row>
        <row r="2250">
          <cell r="A2250" t="str">
            <v>74058/4</v>
          </cell>
          <cell r="B2250" t="str">
            <v>TORNEIRA DE BÓIA REAL 2" COM BALAO PLASTICO - FORNECIMENTO E INSTALACAO</v>
          </cell>
          <cell r="C2250" t="str">
            <v>UN</v>
          </cell>
          <cell r="D2250">
            <v>97.84</v>
          </cell>
        </row>
        <row r="2251">
          <cell r="A2251" t="str">
            <v>74104/1</v>
          </cell>
          <cell r="B2251" t="str">
            <v>CAIXA DE INSPEÇÃO EM ALVENARIA DE TIJOLO MACIÇO 60X60X60CM, REVESTIDA INTERNAMENTO COM BARRA LISA (CIMENTO E AREIA, TRAÇO 1:4) E=2,0CM, COM TAMPA PRÉ-MOLDADA DE CONCRETO E FUNDO DE CONCRETO 15MPA TIPO C - ESCAVAÇÃO E CONFECÇÃO</v>
          </cell>
          <cell r="C2251" t="str">
            <v>UN</v>
          </cell>
          <cell r="D2251">
            <v>108.29</v>
          </cell>
        </row>
        <row r="2252">
          <cell r="A2252" t="str">
            <v>74166/1</v>
          </cell>
          <cell r="B2252" t="str">
            <v>CAIXA DE INSPEÇÃO EM CONCRETO PRÉ-MOLDADO DN 60MM COM TAMPA H= 60CM - FORNECIMENTO E INSTALACAO</v>
          </cell>
          <cell r="C2252" t="str">
            <v>UN</v>
          </cell>
          <cell r="D2252">
            <v>144.58000000000001</v>
          </cell>
        </row>
        <row r="2253">
          <cell r="A2253" t="str">
            <v>74166/2</v>
          </cell>
          <cell r="B2253" t="str">
            <v>CAIXA DE INSPECAO EM ANEL DE CONCRETO PRE MOLDADO, COM 950MM DE ALTURA TOTAL. ANEIS COM ESP=50MM, DIAM.=600MM. EXCLUSIVE TAMPAO E ESCAVACAO - FORNECIMENTO E INSTALACAO</v>
          </cell>
          <cell r="C2253" t="str">
            <v>UN</v>
          </cell>
          <cell r="D2253">
            <v>130.71</v>
          </cell>
        </row>
        <row r="2254">
          <cell r="A2254" t="str">
            <v>78598/1</v>
          </cell>
          <cell r="B2254" t="str">
            <v>RESERVATORIO DE FIBROCIMENTO 500L COM ACESSORIOS</v>
          </cell>
          <cell r="C2254" t="str">
            <v>UN</v>
          </cell>
          <cell r="D2254">
            <v>432.83</v>
          </cell>
        </row>
        <row r="2255">
          <cell r="A2255">
            <v>83703</v>
          </cell>
          <cell r="B2255" t="str">
            <v>TORNEIRA BOIA METALICA D=32MM (1 1/4")</v>
          </cell>
          <cell r="C2255" t="str">
            <v>UN</v>
          </cell>
          <cell r="D2255">
            <v>70.33</v>
          </cell>
        </row>
        <row r="2256">
          <cell r="A2256">
            <v>83704</v>
          </cell>
          <cell r="B2256" t="str">
            <v>TORNEIRA BOIA METALICA D=40MM (1 1/2")</v>
          </cell>
          <cell r="C2256" t="str">
            <v>UN</v>
          </cell>
          <cell r="D2256">
            <v>82.13</v>
          </cell>
        </row>
        <row r="2257">
          <cell r="A2257">
            <v>40777</v>
          </cell>
          <cell r="B2257" t="str">
            <v>CAIXA SIFONADA PVC 150X150X50MM COM GRELHA REDONDA BRANCA - FORNECIMENTO E INSTALACAO</v>
          </cell>
          <cell r="C2257" t="str">
            <v>UN</v>
          </cell>
          <cell r="D2257">
            <v>27.65</v>
          </cell>
        </row>
        <row r="2258">
          <cell r="A2258">
            <v>72291</v>
          </cell>
          <cell r="B2258" t="str">
            <v>CAIXA SIFONADA EM PVC 150X185X75MM SIMPLES - FORNECIMENTO E INSTALAÇÃO</v>
          </cell>
          <cell r="C2258" t="str">
            <v>UN</v>
          </cell>
          <cell r="D2258">
            <v>37.090000000000003</v>
          </cell>
        </row>
        <row r="2259">
          <cell r="A2259">
            <v>72292</v>
          </cell>
          <cell r="B2259" t="str">
            <v>CAIXA SIFONADA EM PVC 100X100X50MM SIMPLES - FORNECIMENTO E INSTALAÇÃO</v>
          </cell>
          <cell r="C2259" t="str">
            <v>UN</v>
          </cell>
          <cell r="D2259">
            <v>31.57</v>
          </cell>
        </row>
        <row r="2260">
          <cell r="A2260">
            <v>72684</v>
          </cell>
          <cell r="B2260" t="str">
            <v>RALO SECO DE PVC 100X100MM SIMPLES - FORNECIMENTO E INSTALACAO</v>
          </cell>
          <cell r="C2260" t="str">
            <v>UN</v>
          </cell>
          <cell r="D2260">
            <v>14.69</v>
          </cell>
        </row>
        <row r="2261">
          <cell r="A2261">
            <v>72685</v>
          </cell>
          <cell r="B2261" t="str">
            <v>RALO SIFONADO DE PVC 100X100MM SIMPLES - FORNECIMENTO E INSTALACAO</v>
          </cell>
          <cell r="C2261" t="str">
            <v>UN</v>
          </cell>
          <cell r="D2261">
            <v>17.190000000000001</v>
          </cell>
        </row>
        <row r="2262">
          <cell r="A2262">
            <v>85426</v>
          </cell>
          <cell r="B2262" t="str">
            <v>CAIXA SIFONADA PVC 250 X 230 X 75 MM C/ TAMPA E  PORTA - FORNECIMENTO E INSTALACAO</v>
          </cell>
          <cell r="C2262" t="str">
            <v>UN</v>
          </cell>
          <cell r="D2262">
            <v>63.82</v>
          </cell>
        </row>
        <row r="2263">
          <cell r="A2263">
            <v>6021</v>
          </cell>
          <cell r="B2263" t="str">
            <v>VASO SANITARIO SIFONADO LOUÇA BRANCA PADRAO POPULAR, COM CONJUNTO PARA FIXAÇAO PARA VASO SANITÁRIO COM PARAFUSO, ARRUELA E BUCHA - FORNECIMENTO E INSTALACAO</v>
          </cell>
          <cell r="C2263" t="str">
            <v>UN</v>
          </cell>
          <cell r="D2263">
            <v>170.2</v>
          </cell>
        </row>
        <row r="2264">
          <cell r="A2264">
            <v>6024</v>
          </cell>
          <cell r="B2264" t="str">
            <v>CAIXA DE DESCARGA PLASTICA EXTERNA COMPLETA,CAPACIDADE 9L COM TUBO DE DESCARGA, ENGATE FLEXIVEL, BOIA E SUPORTE PARA FIXAÇÃO, BOLSA DE LIGAÇÃO EM PVC FLEXÍVEL E CONJUNTO PARA FIXACAO DE CAIXA DE DESCARGA - FORNECIMENTO E INSTALACAO</v>
          </cell>
          <cell r="C2264" t="str">
            <v>UN</v>
          </cell>
          <cell r="D2264">
            <v>58.47</v>
          </cell>
        </row>
        <row r="2265">
          <cell r="A2265">
            <v>68061</v>
          </cell>
          <cell r="B2265" t="str">
            <v>CHUVEIRO PLASTICO BRANCO SIMPLES - FORNECIMENTO E INSTALACAO</v>
          </cell>
          <cell r="C2265" t="str">
            <v>UN</v>
          </cell>
          <cell r="D2265">
            <v>11.05</v>
          </cell>
        </row>
        <row r="2266">
          <cell r="A2266">
            <v>72739</v>
          </cell>
          <cell r="B2266" t="str">
            <v>VASO SANITARIO INFANTIL SIFONADO, PARA VALVULA DE DESCARGA, EM LOUCA BRANCA, COM ACESSORIOS, INCLUSIVE ASSENTO PLASTICO, BOLSA DE BORRACHA PARA LIGACAO, TUBO PVC LIGACAO - FORNECIMENTO E INSTALACAO</v>
          </cell>
          <cell r="C2266" t="str">
            <v>UN</v>
          </cell>
          <cell r="D2266">
            <v>228.85</v>
          </cell>
        </row>
        <row r="2267">
          <cell r="A2267" t="str">
            <v>74101/1</v>
          </cell>
          <cell r="B2267" t="str">
            <v>VASO SANITARIO, ASSENTO PLASTICO, CAIXA DE DESCARGA PVC DE SOBREPOR,  ENGATE PLASTICO, TUBO DE DESCIDA E BOLSA DE BORRACHA</v>
          </cell>
          <cell r="C2267" t="str">
            <v>UN</v>
          </cell>
          <cell r="D2267">
            <v>225.04</v>
          </cell>
        </row>
        <row r="2268">
          <cell r="A2268" t="str">
            <v>74113/1</v>
          </cell>
          <cell r="B2268" t="str">
            <v>ASSENTO PARA VASO SANITARIO INFANTIL DE PLASTICO - FORNECIMENTO E INSTALACAO</v>
          </cell>
          <cell r="C2268" t="str">
            <v>UN</v>
          </cell>
          <cell r="D2268">
            <v>20.28</v>
          </cell>
        </row>
        <row r="2269">
          <cell r="A2269" t="str">
            <v>74227/1</v>
          </cell>
          <cell r="B2269" t="str">
            <v>CAIXA DESCARGA PLASTICA, EMBUTIR, COMPLETA, COM ESPELHO CROMADO E TUBO BENGALA PVC  PARA LIGACAO EM CAIXA DESCARGA DE EMBUTIR - FORNECIMENTO E INSTALACAO</v>
          </cell>
          <cell r="C2269" t="str">
            <v>UN</v>
          </cell>
          <cell r="D2269">
            <v>225.2</v>
          </cell>
        </row>
        <row r="2270">
          <cell r="A2270" t="str">
            <v>74230/1</v>
          </cell>
          <cell r="B2270" t="str">
            <v>ASSENTO PARA VASO SANITARIO  DE PLASTICO PADRAO POPULAR - FORNECIMENTO E INSTALACAO</v>
          </cell>
          <cell r="C2270" t="str">
            <v>UN</v>
          </cell>
          <cell r="D2270">
            <v>19.809999999999999</v>
          </cell>
        </row>
        <row r="2271">
          <cell r="A2271" t="str">
            <v>74234/1</v>
          </cell>
          <cell r="B2271" t="str">
            <v>MICTORIO SIFONADO DE LOUCA BRANCA COM PERTENCES, COM REGISTRO DE PRESSAO 1/2" COM CANOPLA CROMADA ACABAMENTO SIMPLES E CONJUNTO PARA FIXACAO  - FORNECIMENTO E INSTALACAO</v>
          </cell>
          <cell r="C2271" t="str">
            <v>UN</v>
          </cell>
          <cell r="D2271">
            <v>290.69</v>
          </cell>
        </row>
        <row r="2272">
          <cell r="A2272">
            <v>85095</v>
          </cell>
          <cell r="B2272" t="str">
            <v>DUCHA HIGIENICA MANUAL C/ REGISTRO 1/2"</v>
          </cell>
          <cell r="C2272" t="str">
            <v>UN</v>
          </cell>
          <cell r="D2272">
            <v>79.92</v>
          </cell>
        </row>
        <row r="2273">
          <cell r="A2273">
            <v>86872</v>
          </cell>
          <cell r="B2273" t="str">
            <v>TANQUE DE LOUÇA BRANCA COM COLUNA, 22L OU EQUIVALENTE - FORNECIMENTO E INSTALAÇÃO. AF_12/2013_P</v>
          </cell>
          <cell r="C2273" t="str">
            <v>UN</v>
          </cell>
          <cell r="D2273">
            <v>229.71</v>
          </cell>
        </row>
        <row r="2274">
          <cell r="A2274">
            <v>86874</v>
          </cell>
          <cell r="B2274" t="str">
            <v>TANQUE DE LOUÇA BRANCA SUSPENSO, 18L OU EQUIVALENTE  FORNECIMENTO E INSTALAÇÃO. AF_12/2013_P</v>
          </cell>
          <cell r="C2274" t="str">
            <v>UN</v>
          </cell>
          <cell r="D2274">
            <v>181.84</v>
          </cell>
        </row>
        <row r="2275">
          <cell r="A2275">
            <v>86876</v>
          </cell>
          <cell r="B2275" t="str">
            <v>TANQUE DE MÁRMORE SINTÉTICO SUSPENSO, 22L OU EQUIVALENTE - FORNECIMENTO E INSTALAÇÃO. AF_12/2013_P</v>
          </cell>
          <cell r="C2275" t="str">
            <v>UN</v>
          </cell>
          <cell r="D2275">
            <v>125.49</v>
          </cell>
        </row>
        <row r="2276">
          <cell r="A2276">
            <v>86878</v>
          </cell>
          <cell r="B2276" t="str">
            <v>VÁLVULA EM METAL CROMADO TIPO AMERICANA 3.1/2" X 1.1/2" PARA PIA - FORNECIMENTO E INSTALAÇÃO. AF_12/2013</v>
          </cell>
          <cell r="C2276" t="str">
            <v>UN</v>
          </cell>
          <cell r="D2276">
            <v>30.74</v>
          </cell>
        </row>
        <row r="2277">
          <cell r="A2277">
            <v>86879</v>
          </cell>
          <cell r="B2277" t="str">
            <v>VÁLVULA EM PLÁSTICO 1" PARA PIA, TANQUE OU LAVATÓRIO, COM OU SEM LADRÃO - FORNECIMENTO E INSTALAÇÃO. AF_12/2013</v>
          </cell>
          <cell r="C2277" t="str">
            <v>UN</v>
          </cell>
          <cell r="D2277">
            <v>3.97</v>
          </cell>
        </row>
        <row r="2278">
          <cell r="A2278">
            <v>86880</v>
          </cell>
          <cell r="B2278" t="str">
            <v>VÁLVULA EM PLÁSTICO CROMADO TIPO AMERICANA 3.1/2" X 1.1/2" SEM ADAPTADOR PARA PIA - FORNECIMENTO E INSTALAÇÃO. AF_12/2013</v>
          </cell>
          <cell r="C2278" t="str">
            <v>UN</v>
          </cell>
          <cell r="D2278">
            <v>5.96</v>
          </cell>
        </row>
        <row r="2279">
          <cell r="A2279">
            <v>86881</v>
          </cell>
          <cell r="B2279" t="str">
            <v>SIFÃO DO TIPO GARRAFA EM METAL CROMADO 1 X 1.1/2" - FORNECIMENTO E INSTALAÇÃO. AF_12/2013</v>
          </cell>
          <cell r="C2279" t="str">
            <v>UN</v>
          </cell>
          <cell r="D2279">
            <v>69.260000000000005</v>
          </cell>
        </row>
        <row r="2280">
          <cell r="A2280">
            <v>86882</v>
          </cell>
          <cell r="B2280" t="str">
            <v>SIFÃO DO TIPO GARRAFA EM PVC 1.1/4"  - FORNECIMENTO E INSTALAÇÃO. AF_12/2013</v>
          </cell>
          <cell r="C2280" t="str">
            <v>UN</v>
          </cell>
          <cell r="D2280">
            <v>9.9</v>
          </cell>
        </row>
        <row r="2281">
          <cell r="A2281">
            <v>86883</v>
          </cell>
          <cell r="B2281" t="str">
            <v>SIFÃO DO TIPO FLEXÍVEL EM PVC 3/4" X 1.1/2" - FORNECIMENTO E INSTALAÇÃO. AF_12/2013</v>
          </cell>
          <cell r="C2281" t="str">
            <v>UN</v>
          </cell>
          <cell r="D2281">
            <v>11.88</v>
          </cell>
        </row>
        <row r="2282">
          <cell r="A2282">
            <v>86884</v>
          </cell>
          <cell r="B2282" t="str">
            <v>ENGATE FLEXÍVEL EM PLÁSTICO BRANCO, 1/2" X 30CM - FORNECIMENTO E INSTALAÇÃO. AF_12/2013</v>
          </cell>
          <cell r="C2282" t="str">
            <v>UN</v>
          </cell>
          <cell r="D2282">
            <v>4.79</v>
          </cell>
        </row>
        <row r="2283">
          <cell r="A2283">
            <v>86885</v>
          </cell>
          <cell r="B2283" t="str">
            <v>ENGATE FLEXÍVEL EM PLÁSTICO BRANCO, 1/2" X 40CM - FORNECIMENTO E INSTALAÇÃO. AF_12/2013</v>
          </cell>
          <cell r="C2283" t="str">
            <v>UN</v>
          </cell>
          <cell r="D2283">
            <v>6.24</v>
          </cell>
        </row>
        <row r="2284">
          <cell r="A2284">
            <v>86886</v>
          </cell>
          <cell r="B2284" t="str">
            <v>ENGATE FLEXÍVEL EM METAL CROMADO, 1/2" X 30CM - FORNECIMENTO E INSTALAÇÃO. AF_12/2013</v>
          </cell>
          <cell r="C2284" t="str">
            <v>UN</v>
          </cell>
          <cell r="D2284">
            <v>18.36</v>
          </cell>
        </row>
        <row r="2285">
          <cell r="A2285">
            <v>86887</v>
          </cell>
          <cell r="B2285" t="str">
            <v>ENGATE FLEXÍVEL EM METAL CROMADO, 1/2" X 40CM - FORNECIMENTO E INSTALAÇÃO. AF_12/2013</v>
          </cell>
          <cell r="C2285" t="str">
            <v>UN</v>
          </cell>
          <cell r="D2285">
            <v>19.96</v>
          </cell>
        </row>
        <row r="2286">
          <cell r="A2286">
            <v>86888</v>
          </cell>
          <cell r="B2286" t="str">
            <v>VASO SANITÁRIO SIFONADO COM CAIXA ACOPLADA LOUÇA BRANCA - PADRÃO MÉDIO - FORNECIMENTO E INSTALAÇÃO. AF_12/2013_P</v>
          </cell>
          <cell r="C2286" t="str">
            <v>UN</v>
          </cell>
          <cell r="D2286">
            <v>292.22000000000003</v>
          </cell>
        </row>
        <row r="2287">
          <cell r="A2287">
            <v>86889</v>
          </cell>
          <cell r="B2287" t="str">
            <v>BANCADA DE GRANITO CINZA POLIDO PARA PIA DE COZINHA 1,50 X 0,60 M - FORNECIMENTO E INSTALAÇÃO. AF_12/2013_P</v>
          </cell>
          <cell r="C2287" t="str">
            <v>UN</v>
          </cell>
          <cell r="D2287">
            <v>390.85</v>
          </cell>
        </row>
        <row r="2288">
          <cell r="A2288">
            <v>86890</v>
          </cell>
          <cell r="B2288" t="str">
            <v>BANCADA DE GRANITO AMÊNDOA POLIDO PARA PIA DE COZINHA 1,50 X 0,60 M - FORNECIMENTO E INSTALAÇÃO. AF_12/2013_P</v>
          </cell>
          <cell r="C2288" t="str">
            <v>UN</v>
          </cell>
          <cell r="D2288">
            <v>463.88</v>
          </cell>
        </row>
        <row r="2289">
          <cell r="A2289">
            <v>86891</v>
          </cell>
          <cell r="B2289" t="str">
            <v>BANCADA DE GRANITO PRETO TIJUCA POLIDO PARA PIA DE COZINHA 1,50 X 0,60 M - FORNECIMENTO E INSTALAÇÃO. AF_12/2013_P</v>
          </cell>
          <cell r="C2289" t="str">
            <v>UN</v>
          </cell>
          <cell r="D2289">
            <v>546.16</v>
          </cell>
        </row>
        <row r="2290">
          <cell r="A2290">
            <v>86892</v>
          </cell>
          <cell r="B2290" t="str">
            <v>BANCADA DE MÁRMORE ACINZENTADO POLIDO PARA PIA DE COZINHA 1,50 X 0,60 M - FORNECIMENTO E INSTALAÇÃO. AF_12/2013_P</v>
          </cell>
          <cell r="C2290" t="str">
            <v>UN</v>
          </cell>
          <cell r="D2290">
            <v>552.45000000000005</v>
          </cell>
        </row>
        <row r="2291">
          <cell r="A2291">
            <v>86893</v>
          </cell>
          <cell r="B2291" t="str">
            <v>BANCADA DE MÁRMORE BRANCO POLIDO PARA PIA DE COZINHA 1,50 X 0,60 M - FORNECIMENTO E INSTALAÇÃO. AF_12/2013_P</v>
          </cell>
          <cell r="C2291" t="str">
            <v>UN</v>
          </cell>
          <cell r="D2291">
            <v>636.82000000000005</v>
          </cell>
        </row>
        <row r="2292">
          <cell r="A2292">
            <v>86894</v>
          </cell>
          <cell r="B2292" t="str">
            <v>BANCADA DE MÁRMORE SINTÉTICO 120 X 60CM, COM CUBA INTEGRADA - FORNECIMENTO E INSTALAÇÃO. AF_12/2013_P</v>
          </cell>
          <cell r="C2292" t="str">
            <v>UN</v>
          </cell>
          <cell r="D2292">
            <v>168.63</v>
          </cell>
        </row>
        <row r="2293">
          <cell r="A2293">
            <v>86895</v>
          </cell>
          <cell r="B2293" t="str">
            <v>BANCADA DE GRANITO CINZA POLIDO PARA LAVATÓRIO 0,50 X 0,60 M - FORNECIMENTO E INSTALAÇÃO. AF_12/2013_P</v>
          </cell>
          <cell r="C2293" t="str">
            <v>UN</v>
          </cell>
          <cell r="D2293">
            <v>196.08</v>
          </cell>
        </row>
        <row r="2294">
          <cell r="A2294">
            <v>86896</v>
          </cell>
          <cell r="B2294" t="str">
            <v>BANCADA DE GRANITO AMÊNDOA POLIDO PARA LAVATÓRIO 0,50 X 0,60 M - FORNECIMENTO E INSTALAÇÃO. AF_12/2013_P</v>
          </cell>
          <cell r="C2294" t="str">
            <v>UN</v>
          </cell>
          <cell r="D2294">
            <v>223.47</v>
          </cell>
        </row>
        <row r="2295">
          <cell r="A2295">
            <v>86897</v>
          </cell>
          <cell r="B2295" t="str">
            <v>BANCADA DE GRANITO PRETO TIJUCA POLIDO PARA LAVATÓRIO 0,50 X 0,60 M - FORNECIMENTO E INSTALAÇÃO. AF_12/2013_P</v>
          </cell>
          <cell r="C2295" t="str">
            <v>UN</v>
          </cell>
          <cell r="D2295">
            <v>254.34</v>
          </cell>
        </row>
        <row r="2296">
          <cell r="A2296">
            <v>86898</v>
          </cell>
          <cell r="B2296" t="str">
            <v>BANCADA DE MÁRMORE ACINZENTADO POLIDO PARA LAVATÓRIO 0,50 X 0,60 M - FORNECIMENTO E INSTALAÇÃO. AF_12/2013_P</v>
          </cell>
          <cell r="C2296" t="str">
            <v>UN</v>
          </cell>
          <cell r="D2296">
            <v>256.69</v>
          </cell>
        </row>
        <row r="2297">
          <cell r="A2297">
            <v>86899</v>
          </cell>
          <cell r="B2297" t="str">
            <v>BANCADA DE MÁRMORE BRANCO POLIDO PARA LAVATÓRIO 0,50 X 0,60 M - FORNECIMENTO E INSTALAÇÃO. AF_12/2013_P</v>
          </cell>
          <cell r="C2297" t="str">
            <v>UN</v>
          </cell>
          <cell r="D2297">
            <v>288.35000000000002</v>
          </cell>
        </row>
        <row r="2298">
          <cell r="A2298">
            <v>86900</v>
          </cell>
          <cell r="B2298" t="str">
            <v>CUBA DE EMBUTIR DE AÇO INOXIDÁVEL MÉDIA - FORNECIMENTO E INSTALAÇÃO. AF_12/2013</v>
          </cell>
          <cell r="C2298" t="str">
            <v>UN</v>
          </cell>
          <cell r="D2298">
            <v>60.3</v>
          </cell>
        </row>
        <row r="2299">
          <cell r="A2299">
            <v>86901</v>
          </cell>
          <cell r="B2299" t="str">
            <v>CUBA DE EMBUTIR OVAL EM LOUÇA BRANCA, 35 X 50CM OU EQUIVALENTE - FORNECIMENTO E INSTALAÇÃO. AF_12/2013</v>
          </cell>
          <cell r="C2299" t="str">
            <v>UN</v>
          </cell>
          <cell r="D2299">
            <v>88.46</v>
          </cell>
        </row>
        <row r="2300">
          <cell r="A2300">
            <v>86903</v>
          </cell>
          <cell r="B2300" t="str">
            <v>LAVATÓRIO LOUÇA BRANCA COM COLUNA, 45 X 55CM OU EQUIVALENTE, PADRÃO MÉDIO - FORNECIMENTO E INSTALAÇÃO. AF_12/2013_P</v>
          </cell>
          <cell r="C2300" t="str">
            <v>UN</v>
          </cell>
          <cell r="D2300">
            <v>136.16</v>
          </cell>
        </row>
        <row r="2301">
          <cell r="A2301">
            <v>86904</v>
          </cell>
          <cell r="B2301" t="str">
            <v>LAVATÓRIO LOUÇA BRANCA SUSPENSO, 29,5 X 39CM OU EQUIVALENTE, PADRÃO POPULAR - FORNECIMENTO E INSTALAÇÃO. AF_12/2013_P</v>
          </cell>
          <cell r="C2301" t="str">
            <v>UN</v>
          </cell>
          <cell r="D2301">
            <v>56.98</v>
          </cell>
        </row>
        <row r="2302">
          <cell r="A2302">
            <v>86905</v>
          </cell>
          <cell r="B2302" t="str">
            <v>APARELHO MISTURADOR DE MESA PARA LAVATÓRIO, PADRÃO MÉDIO - FORNECIMENTO E INSTALAÇÃO. AF_12/2013</v>
          </cell>
          <cell r="C2302" t="str">
            <v>UN</v>
          </cell>
          <cell r="D2302">
            <v>201.18</v>
          </cell>
        </row>
        <row r="2303">
          <cell r="A2303">
            <v>86906</v>
          </cell>
          <cell r="B2303" t="str">
            <v>TORNEIRA CROMADA DE MESA, 1/2" OU 3/4", PARA LAVATÓRIO, PADRÃO POPULAR - FORNECIMENTO E INSTALAÇÃO. AF_12/2013</v>
          </cell>
          <cell r="C2303" t="str">
            <v>UN</v>
          </cell>
          <cell r="D2303">
            <v>28.45</v>
          </cell>
        </row>
        <row r="2304">
          <cell r="A2304">
            <v>86908</v>
          </cell>
          <cell r="B2304" t="str">
            <v>APARELHO MISTURADOR DE MESA PARA PIA DE COZINHA, PADRÃO MÉDIO - FORNECIMENTO E INSTALAÇÃO. AF_12/2013</v>
          </cell>
          <cell r="C2304" t="str">
            <v>UN</v>
          </cell>
          <cell r="D2304">
            <v>271.49</v>
          </cell>
        </row>
        <row r="2305">
          <cell r="A2305">
            <v>86909</v>
          </cell>
          <cell r="B2305" t="str">
            <v>TORNEIRA CROMADA TUBO MÓVEL, DE MESA, 1/2" OU 3/4", PARA PIA DE COZINHA, PADRÃO ALTO - FORNECIMENTO E INSTALAÇÃO. AF_12/2013</v>
          </cell>
          <cell r="C2305" t="str">
            <v>UN</v>
          </cell>
          <cell r="D2305">
            <v>167.37</v>
          </cell>
        </row>
        <row r="2306">
          <cell r="A2306">
            <v>86910</v>
          </cell>
          <cell r="B2306" t="str">
            <v>TORNEIRA CROMADA TUBO MÓVEL, DE PAREDE, 1/2" OU 3/4", PARA PIA DE COZINHA, PADRÃO MÉDIO - FORNECIMENTO E INSTALAÇÃO. AF_12/2013</v>
          </cell>
          <cell r="C2306" t="str">
            <v>UN</v>
          </cell>
          <cell r="D2306">
            <v>98.3</v>
          </cell>
        </row>
        <row r="2307">
          <cell r="A2307">
            <v>86911</v>
          </cell>
          <cell r="B2307" t="str">
            <v>TORNEIRA CROMADA LONGA, DE PAREDE, 1/2" OU 3/4", PARA PIA DE COZINHA, PADRÃO POPULAR - FORNECIMENTO E INSTALAÇÃO. AF_12/2013</v>
          </cell>
          <cell r="C2307" t="str">
            <v>UN</v>
          </cell>
          <cell r="D2307">
            <v>27.69</v>
          </cell>
        </row>
        <row r="2308">
          <cell r="A2308">
            <v>86912</v>
          </cell>
          <cell r="B2308" t="str">
            <v>TORNEIRA CROMADA LONGA, DE PAREDE, 1/2" OU 3/4", PARA PIA DE COZINHA, PADRÃO MÉDIO   FORNECIMENTO E INSTALAÇÃO. AF_12/2013</v>
          </cell>
          <cell r="C2308" t="str">
            <v>UN</v>
          </cell>
          <cell r="D2308">
            <v>41.32</v>
          </cell>
        </row>
        <row r="2309">
          <cell r="A2309">
            <v>86913</v>
          </cell>
          <cell r="B2309" t="str">
            <v>TORNEIRA CROMADA 1/2" OU 3/4" PARA TANQUE, PADRÃO POPULAR - FORNECIMENTO E INSTALAÇÃO. AF_12/2013</v>
          </cell>
          <cell r="C2309" t="str">
            <v>UN</v>
          </cell>
          <cell r="D2309">
            <v>15.96</v>
          </cell>
        </row>
        <row r="2310">
          <cell r="A2310">
            <v>86914</v>
          </cell>
          <cell r="B2310" t="str">
            <v>TORNEIRA CROMADA 1/2" OU 3/4" PARA TANQUE, PADRÃO MÉDIO - FORNECIMENTO E INSTALAÇÃO. AF_12/2013</v>
          </cell>
          <cell r="C2310" t="str">
            <v>UN</v>
          </cell>
          <cell r="D2310">
            <v>25.99</v>
          </cell>
        </row>
        <row r="2311">
          <cell r="A2311">
            <v>86916</v>
          </cell>
          <cell r="B2311" t="str">
            <v>TORNEIRA PLÁSTICA 3/4" PARA TANQUE - FORNECIMENTO E INSTALAÇÃO. AF_12/2013</v>
          </cell>
          <cell r="C2311" t="str">
            <v>UN</v>
          </cell>
          <cell r="D2311">
            <v>13.11</v>
          </cell>
        </row>
        <row r="2312">
          <cell r="A2312">
            <v>86917</v>
          </cell>
          <cell r="B2312" t="str">
            <v>MANOPLA E CANOPLA CROMADA - FORNECIMENTO E INSTALAÇÃO. AF_12/2013</v>
          </cell>
          <cell r="C2312" t="str">
            <v>UN</v>
          </cell>
          <cell r="D2312">
            <v>12.23</v>
          </cell>
        </row>
        <row r="2313">
          <cell r="A2313">
            <v>86920</v>
          </cell>
          <cell r="B2313" t="str">
            <v>TANQUE DE LOUÇA BRANCA COM COLUNA, 22L OU EQUIVALENTE, INCLUSO SIFÃO FLEXÍVEL EM PVC, VÁLVULA PLÁSTICA E TORNEIRA DE METAL CROMADO PADRÃO POPULAR - FORNECIMENTO E INSTALAÇÃO. AF_12/2013_P</v>
          </cell>
          <cell r="C2313" t="str">
            <v>UN</v>
          </cell>
          <cell r="D2313">
            <v>261.54000000000002</v>
          </cell>
        </row>
        <row r="2314">
          <cell r="A2314">
            <v>86921</v>
          </cell>
          <cell r="B2314" t="str">
            <v>TANQUE DE LOUÇA BRANCA COM COLUNA, 22L OU EQUIVALENTE, INCLUSO SIFÃO FLEXÍVEL EM PVC, VÁLVULA PLÁSTICA E TORNEIRA DE PLÁSTICO - FORNECIMENTO E INSTALAÇÃO. AF_12/2013_P</v>
          </cell>
          <cell r="C2314" t="str">
            <v>UN</v>
          </cell>
          <cell r="D2314">
            <v>258.68</v>
          </cell>
        </row>
        <row r="2315">
          <cell r="A2315">
            <v>86923</v>
          </cell>
          <cell r="B2315" t="str">
            <v>TANQUE DE LOUÇA BRANCA SUSPENSO, 18L OU EQUIVALENTE, INCLUSO SIFÃO TIPO GARRAFA EM PVC, VÁLVULA PLÁSTICA E TORNEIRA DE METAL CROMADO PADRÃO POPULAR - FORNECIMENTO E INSTALAÇÃO. AF_12/2013_P</v>
          </cell>
          <cell r="C2315" t="str">
            <v>UN</v>
          </cell>
          <cell r="D2315">
            <v>211.68</v>
          </cell>
        </row>
        <row r="2316">
          <cell r="A2316">
            <v>86924</v>
          </cell>
          <cell r="B2316" t="str">
            <v>TANQUE DE LOUÇA BRANCA SUSPENSO, 18L OU EQUIVALENTE, INCLUSO SIFÃO TIPO GARRAFA EM PVC, VÁLVULA PLÁSTICA E TORNEIRA DE PLÁSTICO - FORNECIMENTO E INSTALAÇÃO. AF_12/2013_P</v>
          </cell>
          <cell r="C2316" t="str">
            <v>UN</v>
          </cell>
          <cell r="D2316">
            <v>208.83</v>
          </cell>
        </row>
        <row r="2317">
          <cell r="A2317">
            <v>86927</v>
          </cell>
          <cell r="B2317" t="str">
            <v>TANQUE DE MÁRMORE SINTÉTICO SUSPENSO, 22L OU EQUIVALENTE, INCLUSO SIFÃO TIPO GARRAFA EM PVC, VÁLVULA PLÁSTICA E TORNEIRA DE METAL CROMADO PADRÃO POPULAR - FORNECIMENTO E INSTALAÇÃO. AF_12/2013_P</v>
          </cell>
          <cell r="C2317" t="str">
            <v>UN</v>
          </cell>
          <cell r="D2317">
            <v>155.33000000000001</v>
          </cell>
        </row>
        <row r="2318">
          <cell r="A2318">
            <v>86928</v>
          </cell>
          <cell r="B2318" t="str">
            <v>TANQUE DE MÁRMORE SINTÉTICO SUSPENSO, 22L OU EQUIVALENTE, INCLUSO SIFÃO TIPO GARRAFA EM PVC, VÁLVULA PLÁSTICA E TORNEIRA DE PLÁSTICO - FORNECIMENTO E INSTALAÇÃO. AF_12/2013_P</v>
          </cell>
          <cell r="C2318" t="str">
            <v>UN</v>
          </cell>
          <cell r="D2318">
            <v>152.47</v>
          </cell>
        </row>
        <row r="2319">
          <cell r="A2319">
            <v>86929</v>
          </cell>
          <cell r="B2319" t="str">
            <v>TANQUE DE MÁRMORE SINTÉTICO SUSPENSO, 22L OU EQUIVALENTE, INCLUSO SIFÃO FLEXÍVEL EM PVC, VÁLVULA PLÁSTICA E TORNEIRA DE METAL CROMADO PADRÃO POPULAR - FORNECIMENTO E INSTALAÇÃO. AF_12/2013_P</v>
          </cell>
          <cell r="C2319" t="str">
            <v>UN</v>
          </cell>
          <cell r="D2319">
            <v>157.31</v>
          </cell>
        </row>
        <row r="2320">
          <cell r="A2320">
            <v>86930</v>
          </cell>
          <cell r="B2320" t="str">
            <v>TANQUE DE MÁRMORE SINTÉTICO SUSPENSO, 22L OU EQUIVALENTE, INCLUSO SIFÃO FLEXÍVEL EM PVC, VÁLVULA PLÁSTICA E TORNEIRA DE PLÁSTICO - FORNECIMENTO E INSTALAÇÃO. AF_12/2013_P</v>
          </cell>
          <cell r="C2320" t="str">
            <v>UN</v>
          </cell>
          <cell r="D2320">
            <v>154.46</v>
          </cell>
        </row>
        <row r="2321">
          <cell r="A2321">
            <v>86931</v>
          </cell>
          <cell r="B2321" t="str">
            <v>VASO SANITÁRIO SIFONADO COM CAIXA ACOPLADA LOUÇA BRANCA - PADRÃO MÉDIO, INCLUSO ENGATE FLEXÍVEL EM PLÁSTICO BRANCO, 1/2" X 40CM - FORNECIMENTO E INSTALAÇÃO. AF_12/2013_P</v>
          </cell>
          <cell r="C2321" t="str">
            <v>UN</v>
          </cell>
          <cell r="D2321">
            <v>298.47000000000003</v>
          </cell>
        </row>
        <row r="2322">
          <cell r="A2322">
            <v>86932</v>
          </cell>
          <cell r="B2322" t="str">
            <v>VASO SANITÁRIO SIFONADO COM CAIXA ACOPLADA LOUÇA BRANCA - PADRÃO MÉDIO, INCLUSO ENGATE FLEXÍVEL EM METAL CROMADO, 1/2" X 40CM - FORNECIMENTO E INSTALAÇÃO. AF_12/2013_P</v>
          </cell>
          <cell r="C2322" t="str">
            <v>UN</v>
          </cell>
          <cell r="D2322">
            <v>312.19</v>
          </cell>
        </row>
        <row r="2323">
          <cell r="A2323">
            <v>86933</v>
          </cell>
          <cell r="B2323" t="str">
            <v>BANCADA DE MÁRMORE SINTÉTICO 120 X 60CM, COM CUBA INTEGRADA, INCLUSO SIFÃO TIPO GARRAFA EM PVC, VÁLVULA EM PLÁSTICO CROMADO TIPO AMERICANA E TORNEIRA CROMADA LONGA, DE PAREDE, PADRÃO POPULAR - FORNECIMENTO E INSTALAÇÃO. AF_12/2013_P</v>
          </cell>
          <cell r="C2323" t="str">
            <v>UN</v>
          </cell>
          <cell r="D2323">
            <v>212.2</v>
          </cell>
        </row>
        <row r="2324">
          <cell r="A2324">
            <v>86934</v>
          </cell>
          <cell r="B2324" t="str">
            <v>BANCADA DE MÁRMORE SINTÉTICO 120 X 60CM, COM CUBA INTEGRADA, INCLUSO SIFÃO TIPO FLEXÍVEL EM PVC, VÁLVULA EM PLÁSTICO CROMADO TIPO AMERICANA E TORNEIRA CROMADA LONGA, DE PAREDE, PADRÃO POPULAR - FORNECIMENTO E INSTALAÇÃO. AF_12/2013_P</v>
          </cell>
          <cell r="C2324" t="str">
            <v>UN</v>
          </cell>
          <cell r="D2324">
            <v>214.18</v>
          </cell>
        </row>
        <row r="2325">
          <cell r="A2325">
            <v>86935</v>
          </cell>
          <cell r="B2325" t="str">
            <v>CUBA DE EMBUTIR DE AÇO INOXIDÁVEL MÉDIA, INCLUSO VÁLVULA TIPO AMERICANA EM METAL CROMADO E SIFÃO FLEXÍVEL EM PVC - FORNECIMENTO E INSTALAÇÃO. AF_12/2013</v>
          </cell>
          <cell r="C2325" t="str">
            <v>UN</v>
          </cell>
          <cell r="D2325">
            <v>102.94</v>
          </cell>
        </row>
        <row r="2326">
          <cell r="A2326">
            <v>86936</v>
          </cell>
          <cell r="B2326" t="str">
            <v>CUBA DE EMBUTIR DE AÇO INOXIDÁVEL MÉDIA, INCLUSO VÁLVULA TIPO AMERICANA E SIFÃO TIPO GARRAFA EM METAL CROMADO - FORNECIMENTO E INSTALAÇÃO. AF_12/2013</v>
          </cell>
          <cell r="C2326" t="str">
            <v>UN</v>
          </cell>
          <cell r="D2326">
            <v>160.31</v>
          </cell>
        </row>
        <row r="2327">
          <cell r="A2327">
            <v>86942</v>
          </cell>
          <cell r="B2327" t="str">
            <v>LAVATÓRIO LOUÇA BRANCA SUSPENSO, 29,5 X 39CM OU EQUIVALENTE, PADRÃO POPULAR, INCLUSO SIFÃO TIPO GARRAFA EM PVC, VÁLVULA E ENGATE FLEXÍVEL 30CM EM PLÁSTICO E TORNEIRA CROMADA DE MESA, PADRÃO POPULAR - FORNECIMENTO E INSTALAÇÃO. AF_12/2013_P</v>
          </cell>
          <cell r="C2327" t="str">
            <v>UN</v>
          </cell>
          <cell r="D2327">
            <v>104.11</v>
          </cell>
        </row>
        <row r="2328">
          <cell r="A2328">
            <v>86943</v>
          </cell>
          <cell r="B2328" t="str">
            <v>LAVATÓRIO LOUÇA BRANCA SUSPENSO, 29,5 X 39CM OU EQUIVALENTE, PADRÃO POPULAR, INCLUSO SIFÃO FLEXÍVEL EM PVC, VÁLVULA E ENGATE FLEXÍVEL 30CM EM PLÁSTICO E TORNEIRA CROMADA DE MESA, PADRÃO POPULAR - FORNECIMENTO E INSTALAÇÃO. AF_12/2013_P</v>
          </cell>
          <cell r="C2328" t="str">
            <v>UN</v>
          </cell>
          <cell r="D2328">
            <v>106.1</v>
          </cell>
        </row>
        <row r="2329">
          <cell r="A2329">
            <v>86944</v>
          </cell>
          <cell r="B2329" t="str">
            <v>BANCADA DE GRANITO CINZA POLIDO 0,50 X 0,60 M, INCLUSO CUBA DE EMBUTIR DE AÇO INOXIDÁVEL MÉDIA, VÁLVULA TIPO AMERICANA EM METAL CROMADO, SIFÃO FLEXÍVEL EM PVC, ENGATE FLEXÍVEL 30CM EM PLÁSTICO E TORNEIRA CROMADA TUBO MÓVEL, DE MESA, PADRÃO ALTO - FORNECI</v>
          </cell>
          <cell r="C2329" t="str">
            <v>UN</v>
          </cell>
          <cell r="D2329">
            <v>665.96</v>
          </cell>
        </row>
        <row r="2330">
          <cell r="A2330">
            <v>86945</v>
          </cell>
          <cell r="B2330" t="str">
            <v>BANCADA DE GRANITO PRETO TIJUCA POLIDO 1,50 X 0,60 M, INCLUSO CUBA DE EMBUTIR DE AÇO INOXIDÁVEL MÉDIA, VÁLVULA TIPO AMERICANA, SIFÃO TIPO GARRAFA E ENGATE FLEXÍVEL 40CM EM METAL CROMADO E APARELHO MISTURADOR DE MESA, PADRÃO MÉDIO - FORNECIMENTO E INSTALA</v>
          </cell>
          <cell r="C2330" t="str">
            <v>UN</v>
          </cell>
          <cell r="D2330">
            <v>1017.9</v>
          </cell>
        </row>
        <row r="2331">
          <cell r="A2331">
            <v>6087</v>
          </cell>
          <cell r="B2331" t="str">
            <v>TAMPA EM CONCRETO ARMADO 60X60X5CM P/CX INSPECAO/FOSSA SEPTICA</v>
          </cell>
          <cell r="C2331" t="str">
            <v>UN</v>
          </cell>
          <cell r="D2331">
            <v>18.43</v>
          </cell>
        </row>
        <row r="2332">
          <cell r="A2332" t="str">
            <v>74197/1</v>
          </cell>
          <cell r="B2332" t="str">
            <v>FOSSA SEPTICA EM ALVENARIA DE TIJOLO CERAMICO MACICO DIMENSOES EXTERNAS 1,90X1,10X1,40M, 1.500 LITROS, REVESTIDA INTERNAMENTE COM BARRA LISA, COM TAMPA EM CONCRETO ARMADO COM ESPESSURA 8CM</v>
          </cell>
          <cell r="C2332" t="str">
            <v>UN</v>
          </cell>
          <cell r="D2332">
            <v>838.33</v>
          </cell>
        </row>
        <row r="2333">
          <cell r="A2333" t="str">
            <v>74198/1</v>
          </cell>
          <cell r="B2333" t="str">
            <v>SUMIDOURO EM ALVENARIA DE TIJOLO CERAMICO MACICO DIAMETRO 1,20M E ALTURA 5,00M, COM TAMPA EM CONCRETO ARMADO DIAMETRO 1,40M E ESPESSURA 10CM</v>
          </cell>
          <cell r="C2333" t="str">
            <v>UN</v>
          </cell>
          <cell r="D2333">
            <v>998.63</v>
          </cell>
        </row>
        <row r="2334">
          <cell r="A2334" t="str">
            <v>74198/2</v>
          </cell>
          <cell r="B2334" t="str">
            <v>SUMIDOURO EM ALVENARIA DE TIJOLO CERAMICO MACIÇO DIAMETRO 1,40M E ALTURA 5,00M, COM TAMPA EM CONCRETO ARMADO DIAMETRO 1,60M E ESPESSURA 10CM</v>
          </cell>
          <cell r="C2334" t="str">
            <v>UN</v>
          </cell>
          <cell r="D2334">
            <v>1231.48</v>
          </cell>
        </row>
        <row r="2335">
          <cell r="A2335">
            <v>40729</v>
          </cell>
          <cell r="B2335" t="str">
            <v>VALVULA DESCARGA 1.1/2" COM REGISTRO, ACABAMENTO EM METAL CROMADO - FORNECIMENTO E INSTALACAO</v>
          </cell>
          <cell r="C2335" t="str">
            <v>UN</v>
          </cell>
          <cell r="D2335">
            <v>183.58</v>
          </cell>
        </row>
        <row r="2336">
          <cell r="A2336">
            <v>72711</v>
          </cell>
          <cell r="B2336" t="str">
            <v>REGISTRO GAVETA 1/2" BRUTO LATAO - FORNECIMENTO E INSTALACAO</v>
          </cell>
          <cell r="C2336" t="str">
            <v>UN</v>
          </cell>
          <cell r="D2336">
            <v>32.35</v>
          </cell>
        </row>
        <row r="2337">
          <cell r="A2337">
            <v>73663</v>
          </cell>
          <cell r="B2337" t="str">
            <v>REGISTRO DE GAVETA COM CANOPLA Ø 25MM (1) - FORNECIMENTO E INSTALAÇÃO</v>
          </cell>
          <cell r="C2337" t="str">
            <v>UN</v>
          </cell>
          <cell r="D2337">
            <v>75.7</v>
          </cell>
        </row>
        <row r="2338">
          <cell r="A2338">
            <v>73664</v>
          </cell>
          <cell r="B2338" t="str">
            <v>REGISTRO DE PRESSÃO COM CANOPLA Ø 15MM (1/2") - FORNECIMENTO E INSTALAÇÃO</v>
          </cell>
          <cell r="C2338" t="str">
            <v>UN</v>
          </cell>
          <cell r="D2338">
            <v>59.31</v>
          </cell>
        </row>
        <row r="2339">
          <cell r="A2339" t="str">
            <v>73795/1</v>
          </cell>
          <cell r="B2339" t="str">
            <v>VÁLVULA DE RETENÇÃO VERTICAL Ø 20MM (3/4") - FORNECIMENTO E INSTALAÇÃO</v>
          </cell>
          <cell r="C2339" t="str">
            <v>UN</v>
          </cell>
          <cell r="D2339">
            <v>82.48</v>
          </cell>
        </row>
        <row r="2340">
          <cell r="A2340" t="str">
            <v>73795/2</v>
          </cell>
          <cell r="B2340" t="str">
            <v>VÁLVULA DE RETENÇÃO VERTICAL Ø 25MM (1") - FORNECIMENTO E INSTALAÇÃO</v>
          </cell>
          <cell r="C2340" t="str">
            <v>UN</v>
          </cell>
          <cell r="D2340">
            <v>93.6</v>
          </cell>
        </row>
        <row r="2341">
          <cell r="A2341" t="str">
            <v>73795/3</v>
          </cell>
          <cell r="B2341" t="str">
            <v>VÁLVULA DE RETENÇÃO VERTICAL Ø 32MM (1.1/4") - FORNECIMENTO E INSTALAÇÃO</v>
          </cell>
          <cell r="C2341" t="str">
            <v>UN</v>
          </cell>
          <cell r="D2341">
            <v>117.43</v>
          </cell>
        </row>
        <row r="2342">
          <cell r="A2342" t="str">
            <v>73795/4</v>
          </cell>
          <cell r="B2342" t="str">
            <v>VÁLVULA DE RETENÇÃO VERTICAL Ø 40MM (1.1/2") - FORNECIMENTO E INSTALAÇÃO</v>
          </cell>
          <cell r="C2342" t="str">
            <v>UN</v>
          </cell>
          <cell r="D2342">
            <v>145.63</v>
          </cell>
        </row>
        <row r="2343">
          <cell r="A2343" t="str">
            <v>73795/5</v>
          </cell>
          <cell r="B2343" t="str">
            <v>VÁLVULA DE RETENÇÃO VERTICAL Ø 50MM (2") - FORNECIMENTO E INSTALAÇÃO</v>
          </cell>
          <cell r="C2343" t="str">
            <v>UN</v>
          </cell>
          <cell r="D2343">
            <v>187.13</v>
          </cell>
        </row>
        <row r="2344">
          <cell r="A2344" t="str">
            <v>73795/6</v>
          </cell>
          <cell r="B2344" t="str">
            <v>VÁLVULA DE RETENÇÃO VERTICAL Ø 80MM (3") - FORNECIMENTO E INSTALAÇÃO</v>
          </cell>
          <cell r="C2344" t="str">
            <v>UN</v>
          </cell>
          <cell r="D2344">
            <v>396.57</v>
          </cell>
        </row>
        <row r="2345">
          <cell r="A2345" t="str">
            <v>73795/7</v>
          </cell>
          <cell r="B2345" t="str">
            <v>VÁLVULA DE RETENÇÃO VERTICAL Ø 100MM (4") - FORNECIMENTO E INSTALAÇÃO</v>
          </cell>
          <cell r="C2345" t="str">
            <v>UN</v>
          </cell>
          <cell r="D2345">
            <v>754.63</v>
          </cell>
        </row>
        <row r="2346">
          <cell r="A2346" t="str">
            <v>73795/8</v>
          </cell>
          <cell r="B2346" t="str">
            <v>VÁLVULA DE RETENÇÃO HORIZONTAL Ø 20MM (3/4") - FORNECIMENTO E INSTALAÇÃO</v>
          </cell>
          <cell r="C2346" t="str">
            <v>UN</v>
          </cell>
          <cell r="D2346">
            <v>110.42</v>
          </cell>
        </row>
        <row r="2347">
          <cell r="A2347" t="str">
            <v>73795/9</v>
          </cell>
          <cell r="B2347" t="str">
            <v>VALVULA DE RETENCAO HORIZONTAL Ø 25MM (1) - FORNECIMENTO E INSTALACAO</v>
          </cell>
          <cell r="C2347" t="str">
            <v>UN</v>
          </cell>
          <cell r="D2347">
            <v>145.11000000000001</v>
          </cell>
        </row>
        <row r="2348">
          <cell r="A2348" t="str">
            <v>73795/10</v>
          </cell>
          <cell r="B2348" t="str">
            <v>VÁLVULA DE RETENÇÃO HORIZONTAL Ø 32MM (1.1/4") - FORNECIMENTO E INSTALAÇÃO</v>
          </cell>
          <cell r="C2348" t="str">
            <v>UN</v>
          </cell>
          <cell r="D2348">
            <v>204.05</v>
          </cell>
        </row>
        <row r="2349">
          <cell r="A2349" t="str">
            <v>73795/11</v>
          </cell>
          <cell r="B2349" t="str">
            <v>VÁLVULA DE RETENÇÃO HORIZONTAL Ø 40MM (1.1/2") - FORNECIMENTO E INSTALAÇÃO</v>
          </cell>
          <cell r="C2349" t="str">
            <v>UN</v>
          </cell>
          <cell r="D2349">
            <v>237.6</v>
          </cell>
        </row>
        <row r="2350">
          <cell r="A2350" t="str">
            <v>73795/12</v>
          </cell>
          <cell r="B2350" t="str">
            <v>VÁLVULA DE RETENÇÃO HORIZONTAL Ø 50MM (2") - FORNECIMENTO E INSTALAÇÃO</v>
          </cell>
          <cell r="C2350" t="str">
            <v>UN</v>
          </cell>
          <cell r="D2350">
            <v>341.44</v>
          </cell>
        </row>
        <row r="2351">
          <cell r="A2351" t="str">
            <v>73795/13</v>
          </cell>
          <cell r="B2351" t="str">
            <v>VÁLVULA DE RETENÇÃO HORIZONTAL Ø 65MM (2.1/2") - FORNECIMENTO E INSTALAÇÃO</v>
          </cell>
          <cell r="C2351" t="str">
            <v>UN</v>
          </cell>
          <cell r="D2351">
            <v>454.84</v>
          </cell>
        </row>
        <row r="2352">
          <cell r="A2352" t="str">
            <v>73795/14</v>
          </cell>
          <cell r="B2352" t="str">
            <v>VÁLVULA DE RETENÇÃO HORIZONTAL Ø 80MM (3") - FORNECIMENTO E INSTALAÇÃO</v>
          </cell>
          <cell r="C2352" t="str">
            <v>UN</v>
          </cell>
          <cell r="D2352">
            <v>524.20000000000005</v>
          </cell>
        </row>
        <row r="2353">
          <cell r="A2353" t="str">
            <v>73795/15</v>
          </cell>
          <cell r="B2353" t="str">
            <v>VÁLVULA DE RETENÇÃO HORIZONTAL Ø 100MM (4") - FORNECIMENTO E INSTALAÇÃO</v>
          </cell>
          <cell r="C2353" t="str">
            <v>UN</v>
          </cell>
          <cell r="D2353">
            <v>1005.47</v>
          </cell>
        </row>
        <row r="2354">
          <cell r="A2354" t="str">
            <v>73796/1</v>
          </cell>
          <cell r="B2354" t="str">
            <v>VÁLVULA DE PÉ COM CRIVO Ø 20MM (3/4") - FORNECIMENTO E INSTALAÇÃO</v>
          </cell>
          <cell r="C2354" t="str">
            <v>UN</v>
          </cell>
          <cell r="D2354">
            <v>49.71</v>
          </cell>
        </row>
        <row r="2355">
          <cell r="A2355" t="str">
            <v>73796/2</v>
          </cell>
          <cell r="B2355" t="str">
            <v>VÁLVULA DE PÉ COM CRIVO Ø 25MM (1") - FORNECIMENTO E INSTALAÇÃO</v>
          </cell>
          <cell r="C2355" t="str">
            <v>UN</v>
          </cell>
          <cell r="D2355">
            <v>55.07</v>
          </cell>
        </row>
        <row r="2356">
          <cell r="A2356" t="str">
            <v>73796/3</v>
          </cell>
          <cell r="B2356" t="str">
            <v>VÁLVULA DE PÉ COM CRIVO Ø 40MM (1.1/2") - FORNECIMENTO E INSTALAÇÃO</v>
          </cell>
          <cell r="C2356" t="str">
            <v>UN</v>
          </cell>
          <cell r="D2356">
            <v>86.81</v>
          </cell>
        </row>
        <row r="2357">
          <cell r="A2357" t="str">
            <v>73796/4</v>
          </cell>
          <cell r="B2357" t="str">
            <v>VÁLVULA DE PÉ COM CRIVO Ø 50MM (2") - FORNECIMENTO E INSTALAÇÃO</v>
          </cell>
          <cell r="C2357" t="str">
            <v>UN</v>
          </cell>
          <cell r="D2357">
            <v>114.19</v>
          </cell>
        </row>
        <row r="2358">
          <cell r="A2358" t="str">
            <v>73796/5</v>
          </cell>
          <cell r="B2358" t="str">
            <v>VÁLVULA DE PÉ COM CRIVO Ø 65MM (2.1/2") - FORNECIMENTO E INSTALAÇÃO</v>
          </cell>
          <cell r="C2358" t="str">
            <v>UN</v>
          </cell>
          <cell r="D2358">
            <v>200.37</v>
          </cell>
        </row>
        <row r="2359">
          <cell r="A2359" t="str">
            <v>73796/6</v>
          </cell>
          <cell r="B2359" t="str">
            <v>VÁLVULA DE PÉ COM CRIVO Ø 80MM (3") - FORNECIMENTO E INSTALAÇÃO</v>
          </cell>
          <cell r="C2359" t="str">
            <v>UN</v>
          </cell>
          <cell r="D2359">
            <v>250.97</v>
          </cell>
        </row>
        <row r="2360">
          <cell r="A2360" t="str">
            <v>73796/7</v>
          </cell>
          <cell r="B2360" t="str">
            <v>VÁLVULA DE PÉ COM CRIVO Ø 100MM (4") - FORNECIMENTO E INSTALAÇÃO</v>
          </cell>
          <cell r="C2360" t="str">
            <v>UN</v>
          </cell>
          <cell r="D2360">
            <v>409.51</v>
          </cell>
        </row>
        <row r="2361">
          <cell r="A2361" t="str">
            <v>73797/1</v>
          </cell>
          <cell r="B2361" t="str">
            <v>REGISTRO DE GAVETA COM CANOPLA Ø 32MM (1.1/4") - FORNECIMENTO E INSTALAÇÃO</v>
          </cell>
          <cell r="C2361" t="str">
            <v>UN</v>
          </cell>
          <cell r="D2361">
            <v>103.1</v>
          </cell>
        </row>
        <row r="2362">
          <cell r="A2362" t="str">
            <v>73870/1</v>
          </cell>
          <cell r="B2362" t="str">
            <v>VÁLVULA DE ESFERA EM BRONZE Ø 1/2" - FORNECIMENTO E INSTALAÇÃO</v>
          </cell>
          <cell r="C2362" t="str">
            <v>UN</v>
          </cell>
          <cell r="D2362">
            <v>38.96</v>
          </cell>
        </row>
        <row r="2363">
          <cell r="A2363" t="str">
            <v>73870/2</v>
          </cell>
          <cell r="B2363" t="str">
            <v>VÁLVULA DE ESFERA EM BRONZE Ø 3/4" - FORNECIMENTO E INSTALAÇÃO</v>
          </cell>
          <cell r="C2363" t="str">
            <v>UN</v>
          </cell>
          <cell r="D2363">
            <v>43.63</v>
          </cell>
        </row>
        <row r="2364">
          <cell r="A2364" t="str">
            <v>73870/3</v>
          </cell>
          <cell r="B2364" t="str">
            <v>VÁLVULA DE ESFERA EM BRONZE Ø 1"  - FORNECIMENTO E INSTALAÇÃO</v>
          </cell>
          <cell r="C2364" t="str">
            <v>UN</v>
          </cell>
          <cell r="D2364">
            <v>55.4</v>
          </cell>
        </row>
        <row r="2365">
          <cell r="A2365" t="str">
            <v>73870/4</v>
          </cell>
          <cell r="B2365" t="str">
            <v>REGISTRO DE ESFERA EM BRONZE D= 1.1/4" FORNEC E COLOCACAO</v>
          </cell>
          <cell r="C2365" t="str">
            <v>UN</v>
          </cell>
          <cell r="D2365">
            <v>76.14</v>
          </cell>
        </row>
        <row r="2366">
          <cell r="A2366" t="str">
            <v>73870/5</v>
          </cell>
          <cell r="B2366" t="str">
            <v>VÁLVULA DE ESFERA EM BRONZE Ø 1.1/2" - FORNECIMENTO E INSTALAÇÃO</v>
          </cell>
          <cell r="C2366" t="str">
            <v>UN</v>
          </cell>
          <cell r="D2366">
            <v>91.18</v>
          </cell>
        </row>
        <row r="2367">
          <cell r="A2367" t="str">
            <v>73870/6</v>
          </cell>
          <cell r="B2367" t="str">
            <v>VÁLVULA DE ESFERA EM BRONZE Ø 2" - FORNECIMENTO E INSTALAÇÃO</v>
          </cell>
          <cell r="C2367" t="str">
            <v>UN</v>
          </cell>
          <cell r="D2367">
            <v>133.29</v>
          </cell>
        </row>
        <row r="2368">
          <cell r="A2368" t="str">
            <v>74091/1</v>
          </cell>
          <cell r="B2368" t="str">
            <v>VALVULA RETENCAO VERTICAL BRONZE (PN-16) 2.1/2" 200PSI - EXTREMIDADES COM ROSCA - FORNECIMENTO E INSTALACAO</v>
          </cell>
          <cell r="C2368" t="str">
            <v>UN</v>
          </cell>
          <cell r="D2368">
            <v>333.99</v>
          </cell>
        </row>
        <row r="2369">
          <cell r="A2369" t="str">
            <v>74093/1</v>
          </cell>
          <cell r="B2369" t="str">
            <v>VALVULA PE COM CRIVO BRONZE 1.1/4" - FORNECIMENTO E INSTALACAO</v>
          </cell>
          <cell r="C2369" t="str">
            <v>UN</v>
          </cell>
          <cell r="D2369">
            <v>75.7</v>
          </cell>
        </row>
        <row r="2370">
          <cell r="A2370" t="str">
            <v>74169/1</v>
          </cell>
          <cell r="B2370" t="str">
            <v>REGISTRO/VALVULA GLOBO ANGULAR 45 GRAUS EM LATAO PARA HIDRANTES DE INCÊNDIO PREDIAL DN 2.1/2" - FORNECIMENTO E INSTALACAO</v>
          </cell>
          <cell r="C2370" t="str">
            <v>UN</v>
          </cell>
          <cell r="D2370">
            <v>160.53</v>
          </cell>
        </row>
        <row r="2371">
          <cell r="A2371" t="str">
            <v>74174/1</v>
          </cell>
          <cell r="B2371" t="str">
            <v>REGISTRO GAVETA 1.1/2" COM CANOPLA ACABAMENTO CROMADO SIMPLES - FORNECIMENTO E INSTALACAO</v>
          </cell>
          <cell r="C2371" t="str">
            <v>UN</v>
          </cell>
          <cell r="D2371">
            <v>118.01</v>
          </cell>
        </row>
        <row r="2372">
          <cell r="A2372" t="str">
            <v>74175/1</v>
          </cell>
          <cell r="B2372" t="str">
            <v>REGISTRO GAVETA 1" COM CANOPLA ACABAMENTO CROMADO SIMPLES - FORNECIMENTO E INSTALACAO</v>
          </cell>
          <cell r="C2372" t="str">
            <v>UN</v>
          </cell>
          <cell r="D2372">
            <v>72.92</v>
          </cell>
        </row>
        <row r="2373">
          <cell r="A2373" t="str">
            <v>74176/1</v>
          </cell>
          <cell r="B2373" t="str">
            <v>REGISTRO GAVETA 3/4" COM CANOPLA ACABAMENTO CROMADO SIMPLES - FORNECIMENTO E INSTALACAO</v>
          </cell>
          <cell r="C2373" t="str">
            <v>UN</v>
          </cell>
          <cell r="D2373">
            <v>63.23</v>
          </cell>
        </row>
        <row r="2374">
          <cell r="A2374" t="str">
            <v>74177/1</v>
          </cell>
          <cell r="B2374" t="str">
            <v>REGISTRO GAVETA 1/2" COM CANOPLA ACABAMENTO CROMADO SIMPLES - FORNECIMENTO E INSTALACAO</v>
          </cell>
          <cell r="C2374" t="str">
            <v>UN</v>
          </cell>
          <cell r="D2374">
            <v>62.32</v>
          </cell>
        </row>
        <row r="2375">
          <cell r="A2375" t="str">
            <v>74178/1</v>
          </cell>
          <cell r="B2375" t="str">
            <v>REGISTRO GAVETA 4" BRUTO LATAO - FORNECIMENTO E INSTALACAO</v>
          </cell>
          <cell r="C2375" t="str">
            <v>UN</v>
          </cell>
          <cell r="D2375">
            <v>532.9</v>
          </cell>
        </row>
        <row r="2376">
          <cell r="A2376" t="str">
            <v>74179/1</v>
          </cell>
          <cell r="B2376" t="str">
            <v>REGISTRO GAVETA 3" BRUTO LATAO - FORNECIMENTO E INSTALACAO</v>
          </cell>
          <cell r="C2376" t="str">
            <v>UN</v>
          </cell>
          <cell r="D2376">
            <v>319.24</v>
          </cell>
        </row>
        <row r="2377">
          <cell r="A2377" t="str">
            <v>74180/1</v>
          </cell>
          <cell r="B2377" t="str">
            <v>REGISTRO GAVETA 2.1/2" BRUTO LATAO - FORNECIMENTO E INSTALACAO</v>
          </cell>
          <cell r="C2377" t="str">
            <v>UN</v>
          </cell>
          <cell r="D2377">
            <v>219.26</v>
          </cell>
        </row>
        <row r="2378">
          <cell r="A2378" t="str">
            <v>74181/1</v>
          </cell>
          <cell r="B2378" t="str">
            <v>REGISTRO GAVETA 2" BRUTO LATAO - FORNECIMENTO E INSTALACAO</v>
          </cell>
          <cell r="C2378" t="str">
            <v>UN</v>
          </cell>
          <cell r="D2378">
            <v>96.33</v>
          </cell>
        </row>
        <row r="2379">
          <cell r="A2379" t="str">
            <v>74182/1</v>
          </cell>
          <cell r="B2379" t="str">
            <v>REGISTRO GAVETA 1.1/2" BRUTO LATAO - FORNECIMENTO E INSTALACAO</v>
          </cell>
          <cell r="C2379" t="str">
            <v>UN</v>
          </cell>
          <cell r="D2379">
            <v>70.760000000000005</v>
          </cell>
        </row>
        <row r="2380">
          <cell r="A2380" t="str">
            <v>74183/1</v>
          </cell>
          <cell r="B2380" t="str">
            <v>REGISTRO GAVETA 1.1/4" BRUTO LATAO - FORNECIMENTO E INSTALACAO</v>
          </cell>
          <cell r="C2380" t="str">
            <v>UN</v>
          </cell>
          <cell r="D2380">
            <v>60.19</v>
          </cell>
        </row>
        <row r="2381">
          <cell r="A2381" t="str">
            <v>74184/1</v>
          </cell>
          <cell r="B2381" t="str">
            <v>REGISTRO GAVETA 1" BRUTO LATAO - FORNECIMENTO E INSTALACAO</v>
          </cell>
          <cell r="C2381" t="str">
            <v>UN</v>
          </cell>
          <cell r="D2381">
            <v>42.31</v>
          </cell>
        </row>
        <row r="2382">
          <cell r="A2382" t="str">
            <v>74185/1</v>
          </cell>
          <cell r="B2382" t="str">
            <v>REGISTRO GAVETA 3/4" BRUTO LATAO - FORNECIMENTO E INSTALACAO</v>
          </cell>
          <cell r="C2382" t="str">
            <v>UN</v>
          </cell>
          <cell r="D2382">
            <v>33.57</v>
          </cell>
        </row>
        <row r="2383">
          <cell r="A2383">
            <v>85117</v>
          </cell>
          <cell r="B2383" t="str">
            <v>VALVULA DE RETENCAO VERTICAL BRONZE (PN-16) 1/2" 200 PSI - EXTREMIDADE COM ROSCA - FORNECIMENTO E INSTALACAO</v>
          </cell>
          <cell r="C2383" t="str">
            <v>UN</v>
          </cell>
          <cell r="D2383">
            <v>69.17</v>
          </cell>
        </row>
        <row r="2384">
          <cell r="A2384">
            <v>85118</v>
          </cell>
          <cell r="B2384" t="str">
            <v>REGISTRO PRESSAO 3/4" COM CANOPLA ACABAMENTO CROMADO - FORNECIMENTO E INSTALACAO</v>
          </cell>
          <cell r="C2384" t="str">
            <v>UN</v>
          </cell>
          <cell r="D2384">
            <v>62.52</v>
          </cell>
        </row>
        <row r="2385">
          <cell r="A2385">
            <v>85119</v>
          </cell>
          <cell r="B2385" t="str">
            <v>REGISTRO DE PRESSAO CROMADO C/ CANOPLA 1/2" - FORNECIMENTO E INSTALACAO</v>
          </cell>
          <cell r="C2385" t="str">
            <v>UN</v>
          </cell>
          <cell r="D2385">
            <v>58.36</v>
          </cell>
        </row>
        <row r="2386">
          <cell r="A2386">
            <v>72135</v>
          </cell>
          <cell r="B2386" t="str">
            <v>ABERTURA/FECHAMENTO RASGO ALVENARIA PARA TUBOS, FECHAMENTO COM ARGAMASSA TRACO 1:4 (CIMENTO E AREIA)</v>
          </cell>
          <cell r="C2386" t="str">
            <v>M</v>
          </cell>
          <cell r="D2386">
            <v>2.98</v>
          </cell>
        </row>
        <row r="2387">
          <cell r="A2387">
            <v>72285</v>
          </cell>
          <cell r="B2387" t="str">
            <v>CAIXA DE AREIA 40X40X40CM EM ALVENARIA - EXECUÇÃO</v>
          </cell>
          <cell r="C2387" t="str">
            <v>UN</v>
          </cell>
          <cell r="D2387">
            <v>63.32</v>
          </cell>
        </row>
        <row r="2388">
          <cell r="A2388">
            <v>72286</v>
          </cell>
          <cell r="B2388" t="str">
            <v>CAIXA DE AREIA 60X60X60CM EM ALVENARIA - EXECUÇÃO</v>
          </cell>
          <cell r="C2388" t="str">
            <v>UN</v>
          </cell>
          <cell r="D2388">
            <v>116.97</v>
          </cell>
        </row>
        <row r="2389">
          <cell r="A2389">
            <v>72289</v>
          </cell>
          <cell r="B2389" t="str">
            <v>CAIXA DE INSPEÇÃO 80X80X80CM EM ALVENARIA - EXECUÇÃO</v>
          </cell>
          <cell r="C2389" t="str">
            <v>UN</v>
          </cell>
          <cell r="D2389">
            <v>259.82</v>
          </cell>
        </row>
        <row r="2390">
          <cell r="A2390">
            <v>72290</v>
          </cell>
          <cell r="B2390" t="str">
            <v>CAIXA DE INSPEÇÃO 90X90X80CM EM ALVENARIA - EXECUÇÃO</v>
          </cell>
          <cell r="C2390" t="str">
            <v>UN</v>
          </cell>
          <cell r="D2390">
            <v>293.74</v>
          </cell>
        </row>
        <row r="2391">
          <cell r="A2391" t="str">
            <v>73828/1</v>
          </cell>
          <cell r="B2391" t="str">
            <v>ABRIGO PARA CAVALETE/HIDRÔMETRO PRÉ-MOLDADO DE CONCRETO - FORNECIMENTO E INSTALAÇÃO</v>
          </cell>
          <cell r="C2391" t="str">
            <v>UN</v>
          </cell>
          <cell r="D2391">
            <v>115.7</v>
          </cell>
        </row>
        <row r="2392">
          <cell r="A2392" t="str">
            <v>74092/1</v>
          </cell>
          <cell r="B2392" t="str">
            <v>AUTOMATICO DE BOIA SUPERIOR 10A/250V - FORNECIMENTO E INSTALACAO</v>
          </cell>
          <cell r="C2392" t="str">
            <v>UN</v>
          </cell>
          <cell r="D2392">
            <v>43.84</v>
          </cell>
        </row>
        <row r="2393">
          <cell r="A2393" t="str">
            <v>74102/1</v>
          </cell>
          <cell r="B2393" t="str">
            <v>CAIXA PARA HIDROMETRO CONCRETO PRE-MOLDADO - FORNECIMENTO E INSTALACAO</v>
          </cell>
          <cell r="C2393" t="str">
            <v>UN</v>
          </cell>
          <cell r="D2393">
            <v>115.7</v>
          </cell>
        </row>
        <row r="2394">
          <cell r="A2394" t="str">
            <v>73826/1</v>
          </cell>
          <cell r="B2394" t="str">
            <v>INSTALACAO DE COMPRESSOR DE AR, POTENCIA &lt;= 5 CV</v>
          </cell>
          <cell r="C2394" t="str">
            <v>UN</v>
          </cell>
          <cell r="D2394">
            <v>335.97</v>
          </cell>
        </row>
        <row r="2395">
          <cell r="A2395" t="str">
            <v>73826/2</v>
          </cell>
          <cell r="B2395" t="str">
            <v>INSTALACAO DE COMPRESSOR DE AR, POTENCIA &gt; 5 E &lt;= 10 CV</v>
          </cell>
          <cell r="C2395" t="str">
            <v>UN</v>
          </cell>
          <cell r="D2395">
            <v>436.77</v>
          </cell>
        </row>
        <row r="2396">
          <cell r="A2396" t="str">
            <v>73834/1</v>
          </cell>
          <cell r="B2396" t="str">
            <v>INSTALACAO DE CONJ.MOTO BOMBA SUBMERSIVEL ATE 10 CV</v>
          </cell>
          <cell r="C2396" t="str">
            <v>UN</v>
          </cell>
          <cell r="D2396">
            <v>119.65</v>
          </cell>
        </row>
        <row r="2397">
          <cell r="A2397" t="str">
            <v>73834/2</v>
          </cell>
          <cell r="B2397" t="str">
            <v>INSTALACAO DE CONJ.MOTO BOMBA SUBMERSIVEL DE 11 A 25 CV</v>
          </cell>
          <cell r="C2397" t="str">
            <v>UN</v>
          </cell>
          <cell r="D2397">
            <v>191.44</v>
          </cell>
        </row>
        <row r="2398">
          <cell r="A2398" t="str">
            <v>73834/3</v>
          </cell>
          <cell r="B2398" t="str">
            <v>INSTALACAO DE CONJ.MOTO BOMBA SUBMERSIVEL DE 26 A 50 CV</v>
          </cell>
          <cell r="C2398" t="str">
            <v>UN</v>
          </cell>
          <cell r="D2398">
            <v>382.89</v>
          </cell>
        </row>
        <row r="2399">
          <cell r="A2399" t="str">
            <v>73834/4</v>
          </cell>
          <cell r="B2399" t="str">
            <v>INSTALACAO DE CONJ.MOTO BOMBA SUBMERSIVEL DE 51 A 100 CV</v>
          </cell>
          <cell r="C2399" t="str">
            <v>UN</v>
          </cell>
          <cell r="D2399">
            <v>574.33000000000004</v>
          </cell>
        </row>
        <row r="2400">
          <cell r="A2400" t="str">
            <v>73835/1</v>
          </cell>
          <cell r="B2400" t="str">
            <v>INSTALACAO DE CONJ.MOTO BOMBA VERTICAL POT &lt;= 100 CV</v>
          </cell>
          <cell r="C2400" t="str">
            <v>UN</v>
          </cell>
          <cell r="D2400">
            <v>800.34</v>
          </cell>
        </row>
        <row r="2401">
          <cell r="A2401" t="str">
            <v>73835/2</v>
          </cell>
          <cell r="B2401" t="str">
            <v>INSTALACAO DE CONJ.MOTO BOMBA VERTICAL 100 &lt; POT &lt;= 200 CV</v>
          </cell>
          <cell r="C2401" t="str">
            <v>UN</v>
          </cell>
          <cell r="D2401">
            <v>1088.46</v>
          </cell>
        </row>
        <row r="2402">
          <cell r="A2402" t="str">
            <v>73835/3</v>
          </cell>
          <cell r="B2402" t="str">
            <v>INSTALACAO DE CONJ.MOTO BOMBA VERTICAL 200 &lt; POT &lt;= 300 CV</v>
          </cell>
          <cell r="C2402" t="str">
            <v>UN</v>
          </cell>
          <cell r="D2402">
            <v>1216.52</v>
          </cell>
        </row>
        <row r="2403">
          <cell r="A2403" t="str">
            <v>73836/1</v>
          </cell>
          <cell r="B2403" t="str">
            <v>INSTALACAO DE CONJ.MOTO BOMBA HORIZONTAL ATE 10 CV</v>
          </cell>
          <cell r="C2403" t="str">
            <v>UN</v>
          </cell>
          <cell r="D2403">
            <v>320.13</v>
          </cell>
        </row>
        <row r="2404">
          <cell r="A2404" t="str">
            <v>73836/2</v>
          </cell>
          <cell r="B2404" t="str">
            <v>INSTALACAO DE CONJ.MOTO BOMBA HORIZONTAL DE 12,5 A 25 CV</v>
          </cell>
          <cell r="C2404" t="str">
            <v>UN</v>
          </cell>
          <cell r="D2404">
            <v>416.17</v>
          </cell>
        </row>
        <row r="2405">
          <cell r="A2405" t="str">
            <v>73836/3</v>
          </cell>
          <cell r="B2405" t="str">
            <v>INSTALACAO DE CONJ.MOTO BOMBA HORIZONTAL DE 30 A 75 CV</v>
          </cell>
          <cell r="C2405" t="str">
            <v>UN</v>
          </cell>
          <cell r="D2405">
            <v>640.27</v>
          </cell>
        </row>
        <row r="2406">
          <cell r="A2406" t="str">
            <v>73836/4</v>
          </cell>
          <cell r="B2406" t="str">
            <v>INSTALACAO DE CONJ.MOTO BOMBA HORIZONTAL DE 100 A 150 CV</v>
          </cell>
          <cell r="C2406" t="str">
            <v>UN</v>
          </cell>
          <cell r="D2406">
            <v>1024.44</v>
          </cell>
        </row>
        <row r="2407">
          <cell r="A2407" t="str">
            <v>73837/1</v>
          </cell>
          <cell r="B2407" t="str">
            <v>INSTALACAO DE CONJ.MOTO BOMBA SUBMERSO ATE 5 CV</v>
          </cell>
          <cell r="C2407" t="str">
            <v>UN</v>
          </cell>
          <cell r="D2407">
            <v>119.65</v>
          </cell>
        </row>
        <row r="2408">
          <cell r="A2408" t="str">
            <v>73837/2</v>
          </cell>
          <cell r="B2408" t="str">
            <v>INSTALACAO DE CONJ.MOTO BOMBA SUBMERSO DE 6 A 25 CV</v>
          </cell>
          <cell r="C2408" t="str">
            <v>UN</v>
          </cell>
          <cell r="D2408">
            <v>239.3</v>
          </cell>
        </row>
        <row r="2409">
          <cell r="A2409" t="str">
            <v>73837/3</v>
          </cell>
          <cell r="B2409" t="str">
            <v>INSTALACAO DE CONJ.MOTO BOMBA SUBMERSO DE 26 A 50 CV</v>
          </cell>
          <cell r="C2409" t="str">
            <v>UN</v>
          </cell>
          <cell r="D2409">
            <v>478.61</v>
          </cell>
        </row>
        <row r="2410">
          <cell r="A2410">
            <v>73612</v>
          </cell>
          <cell r="B2410" t="str">
            <v>INSTALACAO DE CLORADOR</v>
          </cell>
          <cell r="C2410" t="str">
            <v>UN</v>
          </cell>
          <cell r="D2410">
            <v>253.29</v>
          </cell>
        </row>
        <row r="2411">
          <cell r="A2411">
            <v>73660</v>
          </cell>
          <cell r="B2411" t="str">
            <v>LEITO FILTRANTE - ASSENTAMENTO DE BLOCOS LEOPOLD</v>
          </cell>
          <cell r="C2411" t="str">
            <v>M2</v>
          </cell>
          <cell r="D2411">
            <v>48.65</v>
          </cell>
        </row>
        <row r="2412">
          <cell r="A2412">
            <v>73661</v>
          </cell>
          <cell r="B2412" t="str">
            <v>FORNECIMENTO E INSTALACAO DE TALHA E TROLEY MANUAL DE 1 TONELADA</v>
          </cell>
          <cell r="C2412" t="str">
            <v>UN</v>
          </cell>
          <cell r="D2412">
            <v>1277.1600000000001</v>
          </cell>
        </row>
        <row r="2413">
          <cell r="A2413">
            <v>73693</v>
          </cell>
          <cell r="B2413" t="str">
            <v>LEITO FILTRANTE - COLOCACAO DE LONA PLASTICA</v>
          </cell>
          <cell r="C2413" t="str">
            <v>M2</v>
          </cell>
          <cell r="D2413">
            <v>12.42</v>
          </cell>
        </row>
        <row r="2414">
          <cell r="A2414">
            <v>73694</v>
          </cell>
          <cell r="B2414" t="str">
            <v>INSTALACAO DE BOMBA DOSADORA</v>
          </cell>
          <cell r="C2414" t="str">
            <v>UN</v>
          </cell>
          <cell r="D2414">
            <v>92.24</v>
          </cell>
        </row>
        <row r="2415">
          <cell r="A2415">
            <v>73695</v>
          </cell>
          <cell r="B2415" t="str">
            <v>INSTALACAO DE AGITADOR</v>
          </cell>
          <cell r="C2415" t="str">
            <v>UN</v>
          </cell>
          <cell r="D2415">
            <v>47.43</v>
          </cell>
        </row>
        <row r="2416">
          <cell r="A2416" t="str">
            <v>73824/1</v>
          </cell>
          <cell r="B2416" t="str">
            <v>INSTALACAO DE MISTURADOR VERTICAL</v>
          </cell>
          <cell r="C2416" t="str">
            <v>UN</v>
          </cell>
          <cell r="D2416">
            <v>253.29</v>
          </cell>
        </row>
        <row r="2417">
          <cell r="A2417" t="str">
            <v>73825/2</v>
          </cell>
          <cell r="B2417" t="str">
            <v>VERTEDOR TRIANGULAR DE ALUMINIO</v>
          </cell>
          <cell r="C2417" t="str">
            <v>M2</v>
          </cell>
          <cell r="D2417">
            <v>300.42</v>
          </cell>
        </row>
        <row r="2418">
          <cell r="A2418" t="str">
            <v>73873/1</v>
          </cell>
          <cell r="B2418" t="str">
            <v>LEITO FILTRANTE - COLOCACAO E APILOAMENTO DE TERRA NO FILTRO</v>
          </cell>
          <cell r="C2418" t="str">
            <v>M3</v>
          </cell>
          <cell r="D2418">
            <v>42.65</v>
          </cell>
        </row>
        <row r="2419">
          <cell r="A2419" t="str">
            <v>73873/2</v>
          </cell>
          <cell r="B2419" t="str">
            <v>LEITO FILTRANTE - FORN.E ENCHIMENTO C/ BRITA NO. 4</v>
          </cell>
          <cell r="C2419" t="str">
            <v>M3</v>
          </cell>
          <cell r="D2419">
            <v>99.08</v>
          </cell>
        </row>
        <row r="2420">
          <cell r="A2420" t="str">
            <v>73873/3</v>
          </cell>
          <cell r="B2420" t="str">
            <v>LEITO FILTRANTE - COLOCACAO DE AREIA NOS FILTROS</v>
          </cell>
          <cell r="C2420" t="str">
            <v>M3</v>
          </cell>
          <cell r="D2420">
            <v>42.65</v>
          </cell>
        </row>
        <row r="2421">
          <cell r="A2421" t="str">
            <v>73873/4</v>
          </cell>
          <cell r="B2421" t="str">
            <v>LEITO FILTRANTE - COLOCACAO DE PEDREGULHOS NOS FILTROS</v>
          </cell>
          <cell r="C2421" t="str">
            <v>M3</v>
          </cell>
          <cell r="D2421">
            <v>46.71</v>
          </cell>
        </row>
        <row r="2422">
          <cell r="A2422" t="str">
            <v>73873/5</v>
          </cell>
          <cell r="B2422" t="str">
            <v>LEITO FILTRANTE - COLOCACAO DE ANTRACITO NOS FILTROS</v>
          </cell>
          <cell r="C2422" t="str">
            <v>M3</v>
          </cell>
          <cell r="D2422">
            <v>42.65</v>
          </cell>
        </row>
        <row r="2423">
          <cell r="A2423" t="str">
            <v>73827/1</v>
          </cell>
          <cell r="B2423" t="str">
            <v>KIT CAVALETE PVC COM REGISTRO 1/2" - FORNECIMENTO E INSTALAÇÃO</v>
          </cell>
          <cell r="C2423" t="str">
            <v>UN</v>
          </cell>
          <cell r="D2423">
            <v>46.7</v>
          </cell>
        </row>
        <row r="2424">
          <cell r="A2424" t="str">
            <v>74217/1</v>
          </cell>
          <cell r="B2424" t="str">
            <v>HIDROMETRO 3,00M3/H, D=1/2" - FORNECIMENTO E INSTALACAO</v>
          </cell>
          <cell r="C2424" t="str">
            <v>UN</v>
          </cell>
          <cell r="D2424">
            <v>94.5</v>
          </cell>
        </row>
        <row r="2425">
          <cell r="A2425" t="str">
            <v>74217/2</v>
          </cell>
          <cell r="B2425" t="str">
            <v>HIDROMETRO 5,00M3/H, D=3/4"  - FORNECIMENTO E INSTALACAO</v>
          </cell>
          <cell r="C2425" t="str">
            <v>UN</v>
          </cell>
          <cell r="D2425">
            <v>121.66</v>
          </cell>
        </row>
        <row r="2426">
          <cell r="A2426" t="str">
            <v>74217/3</v>
          </cell>
          <cell r="B2426" t="str">
            <v>HIDROMETRO 1,50M3/H, D=1/2" - FORNECIMENTO E INSTALACAO</v>
          </cell>
          <cell r="C2426" t="str">
            <v>UN</v>
          </cell>
          <cell r="D2426">
            <v>90.4</v>
          </cell>
        </row>
        <row r="2427">
          <cell r="A2427" t="str">
            <v>74218/1</v>
          </cell>
          <cell r="B2427" t="str">
            <v>KIT CAVALETE PVC COM REGISTRO 3/4" - FORNECIMENTO E INSTALACAO</v>
          </cell>
          <cell r="C2427" t="str">
            <v>UN</v>
          </cell>
          <cell r="D2427">
            <v>49.17</v>
          </cell>
        </row>
        <row r="2428">
          <cell r="A2428" t="str">
            <v>74253/1</v>
          </cell>
          <cell r="B2428" t="str">
            <v>RAMAL PREDIAL EM TUBO PEAD 20MM - FORNECIMENTO, INSTALAÇÃO, ESCAVAÇÃO E REATERRO</v>
          </cell>
          <cell r="C2428" t="str">
            <v>M</v>
          </cell>
          <cell r="D2428">
            <v>13.55</v>
          </cell>
        </row>
        <row r="2429">
          <cell r="A2429">
            <v>83878</v>
          </cell>
          <cell r="B2429" t="str">
            <v>LIGACAO DA REDE 50MM AO RAMAL PREDIAL 1/2"</v>
          </cell>
          <cell r="C2429" t="str">
            <v>UN</v>
          </cell>
          <cell r="D2429">
            <v>30.83</v>
          </cell>
        </row>
        <row r="2430">
          <cell r="A2430">
            <v>83879</v>
          </cell>
          <cell r="B2430" t="str">
            <v>LIGACAO DA REDE 75MM AO RAMAL PREDIAL 1/2"</v>
          </cell>
          <cell r="C2430" t="str">
            <v>UN</v>
          </cell>
          <cell r="D2430">
            <v>36.85</v>
          </cell>
        </row>
        <row r="2431">
          <cell r="A2431" t="str">
            <v>73784/1</v>
          </cell>
          <cell r="B2431" t="str">
            <v>LIGAÇÃO DE ESGOTO EM TUBO PVC ESGOTO SÉRIE-R DN 100MM, DA CAIXA ATÉ A REDE, INCLUINDO ESCAVAÇÃO E REATERRO ATÉ 1,00M, COMPOSTO POR 10,50M DE TUBO PVC SÉRIE-R ESGOTO DN 100MM, JUNÇÃO SIMPLES PVC PARA ESGOTO PREDIAL DN 100X100MM E CURVA PVC 90GRAUS PARA RE</v>
          </cell>
          <cell r="C2431" t="str">
            <v>UN</v>
          </cell>
          <cell r="D2431">
            <v>714.63</v>
          </cell>
        </row>
        <row r="2432">
          <cell r="A2432" t="str">
            <v>73784/2</v>
          </cell>
          <cell r="B2432" t="str">
            <v>LIGAÇÃO DE ESGOTO EM TUBO PVC ESGOTO SÉRIE-R DN 150MM, DA CAIXA ATÉ A REDE, INCLUINDO ESCAVAÇÃO E REATERRO ATÉ 1,00M, COMPOSTO POR 13,65M DE TUBO PVC SÉRIE-R ESGOTO DN 150MM - FORNECIMENTO E INSTALAÇÃO</v>
          </cell>
          <cell r="C2432" t="str">
            <v>UN</v>
          </cell>
          <cell r="D2432">
            <v>992.72</v>
          </cell>
        </row>
        <row r="2433">
          <cell r="A2433" t="str">
            <v>73869/1</v>
          </cell>
          <cell r="B2433" t="str">
            <v>LIGAÇÃO DE ESGOTO EM TUBO CERÂMICO DN 100MM, DA CAIXA ATÉ A REDE, INCLUINDO ESCAVAÇÃO E REATERRO ATÉ 1,00M, COMPOSTO POR 11,48M DE TUBO CERÂMICO ESGOTO DN 100MM E CURVA CERÂMICA 45GRAUS ESGOTO DN 100MM - FORNECIMENTO E INSTALAÇÃO</v>
          </cell>
          <cell r="C2433" t="str">
            <v>UN</v>
          </cell>
          <cell r="D2433">
            <v>673.83</v>
          </cell>
        </row>
        <row r="2434">
          <cell r="A2434" t="str">
            <v>73869/2</v>
          </cell>
          <cell r="B2434" t="str">
            <v>LIGAÇÃO DE ESGOTO EM TUBO CERÂMICO DN 150MM, DA CAIXA ATÉ A REDE, INCLUINDO ESCAVAÇÃO E REATERRO ATÉ 1,00M, COMPOSTO POR 11,48M DE TUBO CERÂMICO ESGOTO DN 150MM E CURVA CERÂMICA 45GRAUS ESGOTO DN 150MM - FORNECIMENTO E INSTALAÇÃO</v>
          </cell>
          <cell r="C2434" t="str">
            <v>UN</v>
          </cell>
          <cell r="D2434">
            <v>786.95</v>
          </cell>
        </row>
        <row r="2435">
          <cell r="A2435" t="str">
            <v>73869/3</v>
          </cell>
          <cell r="B2435" t="str">
            <v>LIGAÇÃO DE ESGOTO EM TUBO CERÂMICO DN 200MM, DA CAIXA ATÉ A REDE, INCLUINDO ESCAVAÇÃO E REATERRO ATÉ 1,00M, COMPOSTO POR 11,48M DE TUBO CERÂMICO ESGOTO DN 200MM E CURVA CERÂMICA 45GRAUS ESGOTO DN 200MM - FORNECIMENTO E INSTALAÇÃO</v>
          </cell>
          <cell r="C2435" t="str">
            <v>UN</v>
          </cell>
          <cell r="D2435">
            <v>999.42</v>
          </cell>
        </row>
        <row r="2436">
          <cell r="A2436" t="str">
            <v>74216/1</v>
          </cell>
          <cell r="B2436" t="str">
            <v>RAMAL PREDIAL DE ESGOTO EM TUBO PVC ESGOTO DN 100MM - FORNECIMENTO, INSTALACAO, ESCAVACAO E REATERRO</v>
          </cell>
          <cell r="C2436" t="str">
            <v>M</v>
          </cell>
          <cell r="D2436">
            <v>53.95</v>
          </cell>
        </row>
        <row r="2437">
          <cell r="A2437" t="str">
            <v>74216/2</v>
          </cell>
          <cell r="B2437" t="str">
            <v>RAMAL PREDIAL DE ESGOTO EM TUBO CERAMICO ESGOTO DN 100MM - FORNECIMENTO, INSTALACAO, ESCAVACAO E REATERRO</v>
          </cell>
          <cell r="C2437" t="str">
            <v>M</v>
          </cell>
          <cell r="D2437">
            <v>62.38</v>
          </cell>
        </row>
        <row r="2438">
          <cell r="A2438" t="str">
            <v>76451/1</v>
          </cell>
          <cell r="B2438" t="str">
            <v>ESCAVACAO MECANIZADA SUBMERSA (DRAGAGEM E CARGA), UTILIZANDO CAMINHÃO BASCULANTE, ESCAVADEIRA TIPO DRAGA DE ARRASTE E RETROESCAVADEIRA COM CARREGADEIRA</v>
          </cell>
          <cell r="C2438" t="str">
            <v>M3</v>
          </cell>
          <cell r="D2438">
            <v>24.5</v>
          </cell>
        </row>
        <row r="2439">
          <cell r="A2439">
            <v>83335</v>
          </cell>
          <cell r="B2439" t="str">
            <v>ESCAVACAO SUBMERSA COM DRAGA DE MANDIBULA</v>
          </cell>
          <cell r="C2439" t="str">
            <v>M3</v>
          </cell>
          <cell r="D2439">
            <v>27.53</v>
          </cell>
        </row>
        <row r="2440">
          <cell r="A2440">
            <v>7011</v>
          </cell>
          <cell r="B2440" t="str">
            <v>ESCAVACAO E ACERTO MANUAL NA FAIXA DE 0,45M DE LARGURA P/ EXECUCAO    DE MEIO-FIO E SARJETA CONJUGADOS</v>
          </cell>
          <cell r="C2440" t="str">
            <v>M</v>
          </cell>
          <cell r="D2440">
            <v>3.29</v>
          </cell>
        </row>
        <row r="2441">
          <cell r="A2441" t="str">
            <v>73903/1</v>
          </cell>
          <cell r="B2441" t="str">
            <v>LIMPEZA SUPERFICIAL DA CAMADA VEGETAL EM JAZIDA</v>
          </cell>
          <cell r="C2441" t="str">
            <v>M2</v>
          </cell>
          <cell r="D2441">
            <v>0.5</v>
          </cell>
        </row>
        <row r="2442">
          <cell r="A2442" t="str">
            <v>73903/2</v>
          </cell>
          <cell r="B2442" t="str">
            <v>EXPURGO DE JAZIDA</v>
          </cell>
          <cell r="C2442" t="str">
            <v>M3</v>
          </cell>
          <cell r="D2442">
            <v>2.66</v>
          </cell>
        </row>
        <row r="2443">
          <cell r="A2443" t="str">
            <v>74151/1</v>
          </cell>
          <cell r="B2443" t="str">
            <v>ESCAVACAO E CARGA MATERIAL 1A CATEGORIA, UTILIZANDO TRATOR DE ESTEIRAS DE 110 A 160HP COM LAMINA, PESO OPERACIONAL * 13T  E PA CARREGADEIRA COM 170 HP.</v>
          </cell>
          <cell r="C2443" t="str">
            <v>M3</v>
          </cell>
          <cell r="D2443">
            <v>3.35</v>
          </cell>
        </row>
        <row r="2444">
          <cell r="A2444" t="str">
            <v>74154/1</v>
          </cell>
          <cell r="B2444" t="str">
            <v>ESCAVACAO, CARGA E TRANSPORTE DE  MATERIAL DE 1A CATEGORIA COM TRATOR SOBRE ESTEIRAS 305 HP E CACAMBA 5M3,  DMT 50 A 200M</v>
          </cell>
          <cell r="C2444" t="str">
            <v>M3</v>
          </cell>
          <cell r="D2444">
            <v>4.93</v>
          </cell>
        </row>
        <row r="2445">
          <cell r="A2445" t="str">
            <v>74155/1</v>
          </cell>
          <cell r="B2445" t="str">
            <v>ESCAVACAO E TRANSP MAT 1A CAT DMT 50M C/TRATOR EST CAT D8 C/ LAMINA</v>
          </cell>
          <cell r="C2445" t="str">
            <v>M3</v>
          </cell>
          <cell r="D2445">
            <v>1.49</v>
          </cell>
        </row>
        <row r="2446">
          <cell r="A2446" t="str">
            <v>74155/2</v>
          </cell>
          <cell r="B2446" t="str">
            <v>ESCAVACAO E TRANSPORTE DE MATERIAL DE  2A CAT DMT 50M COM TRATOR SOBRE  ESTEIRAS 305 HP COM LAMINA E ESCARIFICADOR</v>
          </cell>
          <cell r="C2446" t="str">
            <v>M3</v>
          </cell>
          <cell r="D2446">
            <v>2.89</v>
          </cell>
        </row>
        <row r="2447">
          <cell r="A2447" t="str">
            <v>74205/1</v>
          </cell>
          <cell r="B2447" t="str">
            <v>ESCAVACAO MECANICA DE MATERIAL 1A. CATEGORIA, PROVENIENTE DE CORTE DE SUBLEITO (C/TRATOR ESTEIRAS  160HP)</v>
          </cell>
          <cell r="C2447" t="str">
            <v>M3</v>
          </cell>
          <cell r="D2447">
            <v>2.15</v>
          </cell>
        </row>
        <row r="2448">
          <cell r="A2448" t="str">
            <v>76453/1</v>
          </cell>
          <cell r="B2448" t="str">
            <v>DRAGAGEM (C/ ESCAVADEIRA DRAG LINE DE ARRASTE 140HP)</v>
          </cell>
          <cell r="C2448" t="str">
            <v>M3</v>
          </cell>
          <cell r="D2448">
            <v>22.72</v>
          </cell>
        </row>
        <row r="2449">
          <cell r="A2449">
            <v>78018</v>
          </cell>
          <cell r="B2449" t="str">
            <v>ESCAVACAO MANUAL A CEU ABERTO EM MATERIAL DE 1A CATEGORIA, EM PROFUNDIDADE ATE 0,50M</v>
          </cell>
          <cell r="C2449" t="str">
            <v>M3</v>
          </cell>
          <cell r="D2449">
            <v>21.99</v>
          </cell>
        </row>
        <row r="2450">
          <cell r="A2450">
            <v>79472</v>
          </cell>
          <cell r="B2450" t="str">
            <v>REGULARIZACAO DE SUPERFICIES EM TERRA COM MOTONIVELADORA</v>
          </cell>
          <cell r="C2450" t="str">
            <v>M2</v>
          </cell>
          <cell r="D2450">
            <v>0.37</v>
          </cell>
        </row>
        <row r="2451">
          <cell r="A2451">
            <v>79473</v>
          </cell>
          <cell r="B2451" t="str">
            <v>CORTE E ATERRO COMPENSADO</v>
          </cell>
          <cell r="C2451" t="str">
            <v>M3</v>
          </cell>
          <cell r="D2451">
            <v>4.75</v>
          </cell>
        </row>
        <row r="2452">
          <cell r="A2452">
            <v>79474</v>
          </cell>
          <cell r="B2452" t="str">
            <v>ESCAVACAO MANUAL, CAMPO ABERTO, EM SOLO EXCETO ROCHA, DE 4,00 ATE 6,00 M DE PROFUNDIDADE.</v>
          </cell>
          <cell r="C2452" t="str">
            <v>M3</v>
          </cell>
          <cell r="D2452">
            <v>37.11</v>
          </cell>
        </row>
        <row r="2453">
          <cell r="A2453">
            <v>79477</v>
          </cell>
          <cell r="B2453" t="str">
            <v>ESCAVACAO EM ROCHA C/PERFURACAO MANUAL E EXPLOSIVO</v>
          </cell>
          <cell r="C2453" t="str">
            <v>M3</v>
          </cell>
          <cell r="D2453">
            <v>222.07</v>
          </cell>
        </row>
        <row r="2454">
          <cell r="A2454">
            <v>79478</v>
          </cell>
          <cell r="B2454" t="str">
            <v>ESCAVACAO MANUAL CAMPO ABERTO EM SOLO EXCETO ROCHA ATE 2,00M PROFUNDIDADE</v>
          </cell>
          <cell r="C2454" t="str">
            <v>M3</v>
          </cell>
          <cell r="D2454">
            <v>26.84</v>
          </cell>
        </row>
        <row r="2455">
          <cell r="A2455">
            <v>79479</v>
          </cell>
          <cell r="B2455" t="str">
            <v>ESCAVACAO MANUAL, CAMPO ABERTO, EM SOLO EXCETO ROCHA, DE 2,00 ATE 4,00 M DE PROFUNDIDADE.</v>
          </cell>
          <cell r="C2455" t="str">
            <v>M3</v>
          </cell>
          <cell r="D2455">
            <v>31.97</v>
          </cell>
        </row>
        <row r="2456">
          <cell r="A2456">
            <v>79480</v>
          </cell>
          <cell r="B2456" t="str">
            <v>ESCAVACAO MECANICA CAMPO ABERTO EM SOLO EXCETO ROCHA ATE 2,00M PROFUNDIDADE</v>
          </cell>
          <cell r="C2456" t="str">
            <v>M3</v>
          </cell>
          <cell r="D2456">
            <v>1.82</v>
          </cell>
        </row>
        <row r="2457">
          <cell r="A2457" t="str">
            <v>79505/1</v>
          </cell>
          <cell r="B2457" t="str">
            <v>ESCAVACAO A FOGO EM MATERIAL DE 2A CATEGORIA, MOLEDO OU ROCHA DECOMPOSTA, A CEU ABERTO, FURACAO A BARRA MINA</v>
          </cell>
          <cell r="C2457" t="str">
            <v>M3</v>
          </cell>
          <cell r="D2457">
            <v>47.55</v>
          </cell>
        </row>
        <row r="2458">
          <cell r="A2458" t="str">
            <v>79505/2</v>
          </cell>
          <cell r="B2458" t="str">
            <v>ESCAVACAO A FOGO EM MATERIAL DE 3A CATEGORIA, ROCHA VIVA, A CEU ABERTO, FURACAO A BARRA MINA.</v>
          </cell>
          <cell r="C2458" t="str">
            <v>M3</v>
          </cell>
          <cell r="D2458">
            <v>103.53</v>
          </cell>
        </row>
        <row r="2459">
          <cell r="A2459" t="str">
            <v>79517/1</v>
          </cell>
          <cell r="B2459" t="str">
            <v>ESCAVACAO MANUAL EM SOLO-PROF. ATE 1,50 M</v>
          </cell>
          <cell r="C2459" t="str">
            <v>M3</v>
          </cell>
          <cell r="D2459">
            <v>18.32</v>
          </cell>
        </row>
        <row r="2460">
          <cell r="A2460" t="str">
            <v>79517/2</v>
          </cell>
          <cell r="B2460" t="str">
            <v>ESCAVACAO MANUAL EM SOLO, PROF. MAIOR QUE 1,5M ATE 4,00 M</v>
          </cell>
          <cell r="C2460" t="str">
            <v>M3</v>
          </cell>
          <cell r="D2460">
            <v>29.32</v>
          </cell>
        </row>
        <row r="2461">
          <cell r="A2461">
            <v>83336</v>
          </cell>
          <cell r="B2461" t="str">
            <v>ESCAVACAO MECANICA PARA ACERTO DE TALUDES, EM MATERIAL DE 1A CATEGORIA, COM ESCAVADEIRA HIDRAULICA</v>
          </cell>
          <cell r="C2461" t="str">
            <v>M3</v>
          </cell>
          <cell r="D2461">
            <v>4.3</v>
          </cell>
        </row>
        <row r="2462">
          <cell r="A2462">
            <v>83338</v>
          </cell>
          <cell r="B2462" t="str">
            <v>ESCAVACAO MECANICA, A CEU ABERTO, EM MATERIAL DE 1A CATEGORIA, COM ESCAVADEIRA HIDRAULICA, CAPACIDADE DE 0,78 M3</v>
          </cell>
          <cell r="C2462" t="str">
            <v>M3</v>
          </cell>
          <cell r="D2462">
            <v>2.61</v>
          </cell>
        </row>
        <row r="2463">
          <cell r="A2463">
            <v>3061</v>
          </cell>
          <cell r="B2463" t="str">
            <v>ESCAVACAO MEC VALA N ESCOR MAT 1A CAT C/RETROESCAV ATE 1,50M          EXCL ESGOTAMENTO</v>
          </cell>
          <cell r="C2463" t="str">
            <v>M3</v>
          </cell>
          <cell r="D2463">
            <v>5.76</v>
          </cell>
        </row>
        <row r="2464">
          <cell r="A2464">
            <v>3063</v>
          </cell>
          <cell r="B2464" t="str">
            <v>ESCAV MEC VALA ESCORADA ATE 1,50M C/RETRO MAT 1A COM REDUTOR (C/PEDRAS/  INST PREDIAIS/OUTROS REDUT PRODUTIV) -  EXCL. ESGOT/ESCORAM</v>
          </cell>
          <cell r="C2464" t="str">
            <v>M3</v>
          </cell>
          <cell r="D2464">
            <v>17.87</v>
          </cell>
        </row>
        <row r="2465">
          <cell r="A2465">
            <v>3065</v>
          </cell>
          <cell r="B2465" t="str">
            <v>ESCAV MEC.VALA ESCORADA C/RETRO DE 1,5 A 3M PROF MAT 1A COM REDUTOR (PEDRAS/INST PREDIAIS/OUTROS REDUT PRODUTIV) -  EXCL. ESGOTAM / ESCORAMENTO.</v>
          </cell>
          <cell r="C2465" t="str">
            <v>M3</v>
          </cell>
          <cell r="D2465">
            <v>22.93</v>
          </cell>
        </row>
        <row r="2466">
          <cell r="A2466">
            <v>3070</v>
          </cell>
          <cell r="B2466" t="str">
            <v>ESCAVACAO MEC DE VALA ESCORADA COM RETRO 75 HP, EM MATERIAL DE  1A CATEGORIA  ATÉ 1,5M DE PROFUNDIDADE,  EXCLUINDO ESGOTAMENTO E ESCORAMENTO.</v>
          </cell>
          <cell r="C2466" t="str">
            <v>M3</v>
          </cell>
          <cell r="D2466">
            <v>6.72</v>
          </cell>
        </row>
        <row r="2467">
          <cell r="A2467">
            <v>3071</v>
          </cell>
          <cell r="B2467" t="str">
            <v>ESCAVACAO MEC.VALA ESCORADA MAT 1A CAT C/RETRO DE 1,5 A 3M- EXCLUSIVE ESGOT E ESCORAMENTO</v>
          </cell>
          <cell r="C2467" t="str">
            <v>M3</v>
          </cell>
          <cell r="D2467">
            <v>8.56</v>
          </cell>
        </row>
        <row r="2468">
          <cell r="A2468">
            <v>72915</v>
          </cell>
          <cell r="B2468" t="str">
            <v>ESCAVACAO MECANICA DE VALA EM MATERIAL DE 2A. CATEGORIA ATE 2 M DE PROFUNDIDADE COM UTILIZACAO DE ESCAVADEIRA HIDRAULICA</v>
          </cell>
          <cell r="C2468" t="str">
            <v>M3</v>
          </cell>
          <cell r="D2468">
            <v>10.73</v>
          </cell>
        </row>
        <row r="2469">
          <cell r="A2469">
            <v>72917</v>
          </cell>
          <cell r="B2469" t="str">
            <v>ESCAVACAO MECANICA DE VALA EM MATERIAL 2A. CATEGORIA DE 2,01 ATE 4,00 M DE PROFUNDIDADE COM UTILIZACAO DE ESCAVADEIRA HIDRAULICA</v>
          </cell>
          <cell r="C2469" t="str">
            <v>M3</v>
          </cell>
          <cell r="D2469">
            <v>12.26</v>
          </cell>
        </row>
        <row r="2470">
          <cell r="A2470">
            <v>72918</v>
          </cell>
          <cell r="B2470" t="str">
            <v>ESCAVACAO MECANICA DE VALA EM MATERIAL 2A. CATEGORIA DE 4,01 ATE 6,00 M DE PROFUNDIDADE COM UTILIZACAO DE ESCAVADEIRA HIDRAULICA</v>
          </cell>
          <cell r="C2470" t="str">
            <v>M3</v>
          </cell>
          <cell r="D2470">
            <v>14.31</v>
          </cell>
        </row>
        <row r="2471">
          <cell r="A2471">
            <v>73566</v>
          </cell>
          <cell r="B2471" t="str">
            <v>ESCAV.MEC (ESCAV HIDR)VALA ESCOR PROF=4,5 A 6M MAT 1A CAT EXCL ES          GOTAMENTO E ESCORAMENTO.</v>
          </cell>
          <cell r="C2471" t="str">
            <v>M3</v>
          </cell>
          <cell r="D2471">
            <v>12.18</v>
          </cell>
        </row>
        <row r="2472">
          <cell r="A2472">
            <v>73567</v>
          </cell>
          <cell r="B2472" t="str">
            <v>ESCAV.MEC (ESCAV HIDR)VALA ESCOR PROF=3 A 4,5M MAT 1A CAT EXCL             ESGOTAMENTO E ESCORAMENTO.</v>
          </cell>
          <cell r="C2472" t="str">
            <v>M3</v>
          </cell>
          <cell r="D2472">
            <v>8.34</v>
          </cell>
        </row>
        <row r="2473">
          <cell r="A2473">
            <v>73568</v>
          </cell>
          <cell r="B2473" t="str">
            <v>ESCAV.MEC (ESCAV HIDR)VALA ESCOR PROF=1,5 A 3M MAT 1A CAT EXCL             ESGOTAMENTO E ESCORAMENTO.</v>
          </cell>
          <cell r="C2473" t="str">
            <v>M3</v>
          </cell>
          <cell r="D2473">
            <v>5.65</v>
          </cell>
        </row>
        <row r="2474">
          <cell r="A2474">
            <v>73570</v>
          </cell>
          <cell r="B2474" t="str">
            <v>ESCAV.MEC (ESCAV HIDR)VALA ESCOR PROF=4,5 A 6M MAT 1A C/REDUTORES          PRODUT(CAVAS FUNDACOES/PEDRAS/INST PREDIAIS/OUTROS)EXCL ESG/ESCORAMENTO.</v>
          </cell>
          <cell r="C2474" t="str">
            <v>M3</v>
          </cell>
          <cell r="D2474">
            <v>31.73</v>
          </cell>
        </row>
        <row r="2475">
          <cell r="A2475">
            <v>73571</v>
          </cell>
          <cell r="B2475" t="str">
            <v>ESCAV.MEC. (ESCAV HIDR)VALA ESCOR DE 3 A 4,5M MAT 1A C/REDUTORES            PRODUTIVIDADE(CAVAS FUNDACOES/PEDRAS/INST PREDIAIS/OUTROS) -EXCLUSIVE ESGOT. E ESCORAMENTO.</v>
          </cell>
          <cell r="C2475" t="str">
            <v>M3</v>
          </cell>
          <cell r="D2475">
            <v>19.670000000000002</v>
          </cell>
        </row>
        <row r="2476">
          <cell r="A2476">
            <v>73572</v>
          </cell>
          <cell r="B2476" t="str">
            <v>ESCAV.MEC. (ESCAV HIDR)VALA ESCOR DE 1,5 A 3MMAT 1A C/REDUTOR PRO           DUTIVIDADE(CAVAS FUNDACOES/PEDRAS/INST PREDIAIS/OUTROS)EXCL           ESGOTAMENTO E ESCORAMENTO.</v>
          </cell>
          <cell r="C2476" t="str">
            <v>M3</v>
          </cell>
          <cell r="D2476">
            <v>13.37</v>
          </cell>
        </row>
        <row r="2477">
          <cell r="A2477">
            <v>73573</v>
          </cell>
          <cell r="B2477" t="str">
            <v>ESCAV MEC.VALA(ESCAV HIDR)ESCOR ATE 1,5MMAT 1A C/REDUTOR PRODUT (CAVA FUND/PEDRAS/INST PREDIAIS/OUTROS) EXCL ESGOT / ESCORAMENTO.</v>
          </cell>
          <cell r="C2477" t="str">
            <v>M3</v>
          </cell>
          <cell r="D2477">
            <v>13</v>
          </cell>
        </row>
        <row r="2478">
          <cell r="A2478">
            <v>73574</v>
          </cell>
          <cell r="B2478" t="str">
            <v>ESCAV.MEC. VALA N ESCOR DE 4,5 A 6M(ESCAV HIDRAUL 0,78M3)MAT1ACAT EXCL ESGOTAMENTO.</v>
          </cell>
          <cell r="C2478" t="str">
            <v>M3</v>
          </cell>
          <cell r="D2478">
            <v>7.03</v>
          </cell>
        </row>
        <row r="2479">
          <cell r="A2479">
            <v>73575</v>
          </cell>
          <cell r="B2479" t="str">
            <v>ESCAV MEC VALA N ESCOR DE 3 A 4,5M(ESCAV HIDRAUL O,78M3)MAT 1A CAT EXCL ESGOTAMENTO.</v>
          </cell>
          <cell r="C2479" t="str">
            <v>M3</v>
          </cell>
          <cell r="D2479">
            <v>5.75</v>
          </cell>
        </row>
        <row r="2480">
          <cell r="A2480">
            <v>73576</v>
          </cell>
          <cell r="B2480" t="str">
            <v>ESCAV MEC VALA N ESCOR DE1,5 A 3M(ESCAV HIDRAUL 0,78M3)MAT 1A CAT EXCL ESGOTAMENTOO.</v>
          </cell>
          <cell r="C2480" t="str">
            <v>M3</v>
          </cell>
          <cell r="D2480">
            <v>4.58</v>
          </cell>
        </row>
        <row r="2481">
          <cell r="A2481">
            <v>73577</v>
          </cell>
          <cell r="B2481" t="str">
            <v>ESCAV MEC VALA N ESCOR DE 4,5 A 6M PROF (C/ESCAV HIDR 0,78M3) MAT 1A CAT C/REDUTOR(C/PEDRAS/INST PREDIAIS/OUTROS REDUTORES PRODUT  OU CAVAS FUND) EXCL ESGOTAMENTO</v>
          </cell>
          <cell r="C2481" t="str">
            <v>M3</v>
          </cell>
          <cell r="D2481">
            <v>17.2</v>
          </cell>
        </row>
        <row r="2482">
          <cell r="A2482">
            <v>73578</v>
          </cell>
          <cell r="B2482" t="str">
            <v>ESCAV MEC VALA N ESCOR DE 3 A 4,5M PROF(C/ESCAV HIDR0,78M3) MAT 1A CATC/ REDUTOR(C/PEDRAS/INST PREDIAIS/OUTROS REDUT PRODUT. OU CAVAS FUND)  EXCL ESGOTAMENTO</v>
          </cell>
          <cell r="C2482" t="str">
            <v>M3</v>
          </cell>
          <cell r="D2482">
            <v>13.81</v>
          </cell>
        </row>
        <row r="2483">
          <cell r="A2483">
            <v>73579</v>
          </cell>
          <cell r="B2483" t="str">
            <v>ESCAV MEC VALA N ESCOR DE 1,5 A 3M PROF(C/ESCAV HIDRAUL 0,78M3) MAT 1A CAT C/REDUTOR(C/PEDRAS/INST PREDIAIS/OUTROS REDUT PRODUT. OU CAVAS FUND) EXCL ESGOTAMENTO.</v>
          </cell>
          <cell r="C2483" t="str">
            <v>M3</v>
          </cell>
          <cell r="D2483">
            <v>11.96</v>
          </cell>
        </row>
        <row r="2484">
          <cell r="A2484">
            <v>73580</v>
          </cell>
          <cell r="B2484" t="str">
            <v>ESCAV MEC.VALA N ESCORADA(C/ESCAV HIDRAUL 0,78M3) ATE 1,5M PROF MAT 1A C/REDUTOR(C/PEDRAS/INST PREDIAIS/OUTROS REDUT PRODUT OU CAVAS FUND) EXCL ESGOTAM</v>
          </cell>
          <cell r="C2484" t="str">
            <v>M3</v>
          </cell>
          <cell r="D2484">
            <v>10.42</v>
          </cell>
        </row>
        <row r="2485">
          <cell r="A2485">
            <v>73599</v>
          </cell>
          <cell r="B2485" t="str">
            <v>ESCAVACAO MECANICA VALAS EM QUALQUER TIPO DE SOLO EXCETO ROCHA,PROF. 0 &lt; H &lt; 4 M</v>
          </cell>
          <cell r="C2485" t="str">
            <v>M3</v>
          </cell>
          <cell r="D2485">
            <v>7.79</v>
          </cell>
        </row>
        <row r="2486">
          <cell r="A2486" t="str">
            <v>73962/4</v>
          </cell>
          <cell r="B2486" t="str">
            <v>ESCAVACAO DE VALA NAO ESCORADA  EM  MATERIAL DE 1A CATEGORIA COM PROFUNDIDADE DE 1,5 ATE  3M  COM RETROESCAVADEIRA 75HP, SEM  ESGOTAMENTO</v>
          </cell>
          <cell r="C2486" t="str">
            <v>M3</v>
          </cell>
          <cell r="D2486">
            <v>6.98</v>
          </cell>
        </row>
        <row r="2487">
          <cell r="A2487" t="str">
            <v>73962/13</v>
          </cell>
          <cell r="B2487" t="str">
            <v>ESCAVACAO DE VALA NAO ESCORADA EM MATERIAL 1A CATEGORIA , PROFUNDIDADE ATE 1,5 M COM ESCAVADEIRA HIDRAULICA 105 HP(CAPACIDADE DE 0,78M3), SEM ESGOTAMENTO</v>
          </cell>
          <cell r="C2487" t="str">
            <v>M3</v>
          </cell>
          <cell r="D2487">
            <v>4.04</v>
          </cell>
        </row>
        <row r="2488">
          <cell r="A2488" t="str">
            <v>73962/21</v>
          </cell>
          <cell r="B2488" t="str">
            <v>ESCAVACAO DE VALA ESCORADA EM MATERIAL 1A CATEGORIA , PROFUNDIDADE ATE 1,5 M COM ESCAVADEIRA HIDRAULICA 105 HP(CAPACIDADE DE 0,78M3), SEM ESGOTAMENTO</v>
          </cell>
          <cell r="C2488" t="str">
            <v>M3</v>
          </cell>
          <cell r="D2488">
            <v>4.9400000000000004</v>
          </cell>
        </row>
        <row r="2489">
          <cell r="A2489" t="str">
            <v>73965/1</v>
          </cell>
          <cell r="B2489" t="str">
            <v>ESCAVAÇÃO MANUAL DE VALA, A FRIO,  EM MATERIAL DE 2A CATEGORIA (MOLEDO OU ROCHA DECOMPOSTA) ATÉ 1,50M</v>
          </cell>
          <cell r="C2489" t="str">
            <v>M3</v>
          </cell>
          <cell r="D2489">
            <v>68.72</v>
          </cell>
        </row>
        <row r="2490">
          <cell r="A2490" t="str">
            <v>73965/2</v>
          </cell>
          <cell r="B2490" t="str">
            <v>ESCAVAÇÃO MANUAL DE VALA, A FRIO, EM MATERIAL DE 2A CATEGORIA (MOLEDO OU ROCHA DECOMPOSTA), DE 3 ATÉ 4,5M, EXCLUINDO ESGOTAMENTO E ESCORAMENTO.</v>
          </cell>
          <cell r="C2490" t="str">
            <v>M3</v>
          </cell>
          <cell r="D2490">
            <v>100.79</v>
          </cell>
        </row>
        <row r="2491">
          <cell r="A2491" t="str">
            <v>73965/3</v>
          </cell>
          <cell r="B2491" t="str">
            <v>ESCAVAÇÃO MANUAL DE VALA, A FRIO, EM MATERIAL DE 2A CATEGORIA (MOLEDO OU ROCHA DECOMPOSTA), DE 4,5 ATÉ 6M, EXCLUINDO ESGOTAMENTO E ESCORAMENTO.</v>
          </cell>
          <cell r="C2491" t="str">
            <v>M3</v>
          </cell>
          <cell r="D2491">
            <v>119.12</v>
          </cell>
        </row>
        <row r="2492">
          <cell r="A2492" t="str">
            <v>73965/4</v>
          </cell>
          <cell r="B2492" t="str">
            <v>ESCAVACAO MANUAL DE VALA EM ARGILA OU PEDRA SOLTA DO TAMANHO MEDIO DE PEDRA DE MAO, ATE 1,5M, EXCLUINDO ESGOTAMENTO/ESCORAMENTO.</v>
          </cell>
          <cell r="C2492" t="str">
            <v>M3</v>
          </cell>
          <cell r="D2492">
            <v>43.98</v>
          </cell>
        </row>
        <row r="2493">
          <cell r="A2493" t="str">
            <v>73965/5</v>
          </cell>
          <cell r="B2493" t="str">
            <v>ESCAVACAO MANUAL DE VALA EM ARGILA OU PEDRA SOLTA DO TAMANHO MEDIO DE PEDRA DE MAO, DE 1,5 ATE 3M, EXCLUINDO ESGOTAMENTO/ESCORAMENTO.</v>
          </cell>
          <cell r="C2493" t="str">
            <v>M3</v>
          </cell>
          <cell r="D2493">
            <v>51.31</v>
          </cell>
        </row>
        <row r="2494">
          <cell r="A2494" t="str">
            <v>73965/6</v>
          </cell>
          <cell r="B2494" t="str">
            <v>ESCAVACAO MANUAL DE VALA EM ARGILA OU PEDRA SOLTA DO TAMANHO MEDIO DE PEDRA DE MAO, DE 3 ATE 4,5M, EXCLUINDO ESGOTAMENTO/ESCORAMENTO</v>
          </cell>
          <cell r="C2494" t="str">
            <v>M3</v>
          </cell>
          <cell r="D2494">
            <v>82.46</v>
          </cell>
        </row>
        <row r="2495">
          <cell r="A2495" t="str">
            <v>73965/7</v>
          </cell>
          <cell r="B2495" t="str">
            <v>ESCAVACAO MANUAL DE VALA EM ARGILA OU PEDRA SOLTA DO TAMANHO MEDIO DE PEDRA DE MAO, DE 4,5 ATE 6M, EXCLUINDO ESGOTAMENTO/ESCORAMENTO.</v>
          </cell>
          <cell r="C2495" t="str">
            <v>M3</v>
          </cell>
          <cell r="D2495">
            <v>100.79</v>
          </cell>
        </row>
        <row r="2496">
          <cell r="A2496" t="str">
            <v>73965/8</v>
          </cell>
          <cell r="B2496" t="str">
            <v>ESCAVACAO MANUAL DE VALA EM LODO, ATE 1,5M, EXCLUINDO ESGOTAMENTO/ESCORAMENTO</v>
          </cell>
          <cell r="C2496" t="str">
            <v>M3</v>
          </cell>
          <cell r="D2496">
            <v>50.39</v>
          </cell>
        </row>
        <row r="2497">
          <cell r="A2497" t="str">
            <v>73965/9</v>
          </cell>
          <cell r="B2497" t="str">
            <v>ESCAVACAO MANUAL DE VALA EM LODO, DE 1,5 ATE 3M, EXCLUINDO ESGOTAMENTO/ESCORAMENTO.</v>
          </cell>
          <cell r="C2497" t="str">
            <v>M3</v>
          </cell>
          <cell r="D2497">
            <v>91.63</v>
          </cell>
        </row>
        <row r="2498">
          <cell r="A2498" t="str">
            <v>73965/10</v>
          </cell>
          <cell r="B2498" t="str">
            <v>ESCAVACAO MANUAL DE VALA EM  MATERIAL DE 1A CATEGORIA ATE 1,5M EXCLUINDO ESGOTAMENTO / ESCORAMENTO</v>
          </cell>
          <cell r="C2498" t="str">
            <v>M3</v>
          </cell>
          <cell r="D2498">
            <v>32.07</v>
          </cell>
        </row>
        <row r="2499">
          <cell r="A2499" t="str">
            <v>73965/11</v>
          </cell>
          <cell r="B2499" t="str">
            <v>ESCAVACAO MANUAL DE VALA EM  MATERIAL DE 1A CATEGORIA  DE 1,5 ATE 3M EXCLUINDO ESGOTAMENTO / ESCORAMENTO</v>
          </cell>
          <cell r="C2499" t="str">
            <v>M3</v>
          </cell>
          <cell r="D2499">
            <v>41.23</v>
          </cell>
        </row>
        <row r="2500">
          <cell r="A2500" t="str">
            <v>73965/12</v>
          </cell>
          <cell r="B2500" t="str">
            <v>ESCAVACAO MANUAL DE VALA EM  MATERIAL DE 1A CATEGORIA  DE 3 ATE 4,5M EXCLUINDO ESGOTAMENTO / ESCORAMENTO</v>
          </cell>
          <cell r="C2500" t="str">
            <v>M3</v>
          </cell>
          <cell r="D2500">
            <v>54.97</v>
          </cell>
        </row>
        <row r="2501">
          <cell r="A2501" t="str">
            <v>73965/13</v>
          </cell>
          <cell r="B2501" t="str">
            <v>ESCAVACAO MANUAL DE VALA EM  MATERIAL DE  1A CATEGORIA, DE 6 A 7,5M, EXCLUINDO ESGOTAMENTO / ESCORAMENTO.</v>
          </cell>
          <cell r="C2501" t="str">
            <v>M3</v>
          </cell>
          <cell r="D2501">
            <v>91.63</v>
          </cell>
        </row>
        <row r="2502">
          <cell r="A2502" t="str">
            <v>73965/14</v>
          </cell>
          <cell r="B2502" t="str">
            <v>ESCAVACAO MANUAL DE VALA EM ARGILA RIJA OU PEDRA SOLTA DO TAMANHO MEDIO DE PEDRA DE MAO, DE 6 A 7,5M, EXCLUINDO ESGOTAMENTO / ESCORAMENTO.</v>
          </cell>
          <cell r="C2502" t="str">
            <v>M3</v>
          </cell>
          <cell r="D2502">
            <v>119.12</v>
          </cell>
        </row>
        <row r="2503">
          <cell r="A2503" t="str">
            <v>73965/16</v>
          </cell>
          <cell r="B2503" t="str">
            <v>ESCAVAÇÃO MANUAL DE VALA EM MAT. DE 1ªCAT (AREIA/ ARGILA/ PIÇARRA) ENTRE 4,50 E 6,0M</v>
          </cell>
          <cell r="C2503" t="str">
            <v>M3</v>
          </cell>
          <cell r="D2503">
            <v>73.3</v>
          </cell>
        </row>
        <row r="2504">
          <cell r="A2504" t="str">
            <v>76443/1</v>
          </cell>
          <cell r="B2504" t="str">
            <v>ESCAVACAO MANUAL VALA/CAVA MAT 1A CAT ATE 1,5M EXCL ESG/ESCOR EM BECO (LARG ATE 2M) IMPOSSIBILITANDO ENTRADA DE CAMINHAO OU EQUIPAMENTO MOTORIZADO P/RETIRADA MATERIAL</v>
          </cell>
          <cell r="C2504" t="str">
            <v>M3</v>
          </cell>
          <cell r="D2504">
            <v>38.479999999999997</v>
          </cell>
        </row>
        <row r="2505">
          <cell r="A2505" t="str">
            <v>76443/2</v>
          </cell>
          <cell r="B2505" t="str">
            <v>ESCAVACAO MANUAL VALA/CAVA MAT 1A CAT DE 1,5 A 3M EXCL ESG/ESCOR EM BECO (LARG ATE 2M) IMPOSSIBILITANDO ENTRADA DE CAMINHAO OU EQUIPAMENTO MOTORIZADO P/RETIRADA DO MATERIAL</v>
          </cell>
          <cell r="C2505" t="str">
            <v>M3</v>
          </cell>
          <cell r="D2505">
            <v>49.48</v>
          </cell>
        </row>
        <row r="2506">
          <cell r="A2506" t="str">
            <v>76443/3</v>
          </cell>
          <cell r="B2506" t="str">
            <v>ESCAVACAO MANUAL VALA/CAVA MAT 1A CAT DE 3,0 A 4,5M EXCL ESG/ESCOR EM BECO (LARG ATE 2M) IMPOSSIBILITANDO ENTRADA DE CAMINHAO OU EQUIPAMENTO MOTORIZADO P/RETIRADA DO MATERIAL</v>
          </cell>
          <cell r="C2506" t="str">
            <v>M3</v>
          </cell>
          <cell r="D2506">
            <v>65.97</v>
          </cell>
        </row>
        <row r="2507">
          <cell r="A2507" t="str">
            <v>76443/4</v>
          </cell>
          <cell r="B2507" t="str">
            <v>ESCAVACAO MANUAL VALA/CAVA EM LODO/LAMA ATE 1,5M EXCL ESG/ESCOR EM BECO          (LARG ATE 2M) EM FAVELAS</v>
          </cell>
          <cell r="C2507" t="str">
            <v>M3</v>
          </cell>
          <cell r="D2507">
            <v>58</v>
          </cell>
        </row>
        <row r="2508">
          <cell r="A2508" t="str">
            <v>76443/5</v>
          </cell>
          <cell r="B2508" t="str">
            <v>ESCAVACAO MANUAL VALA/CAVA EM LODO/LAMA DE 1,5M A 3,0M EXCL ESG/ESCOR EM BECO (LARG ATE 2M) EM FAVELAS</v>
          </cell>
          <cell r="C2508" t="str">
            <v>M3</v>
          </cell>
          <cell r="D2508">
            <v>105.37</v>
          </cell>
        </row>
        <row r="2509">
          <cell r="A2509" t="str">
            <v>76443/6</v>
          </cell>
          <cell r="B2509" t="str">
            <v>ESCAVACAO MANUAL VALA, A FRIO, MAT 2A CAT, PROFUNDIDADE DE 6 A 7,5M, EXCL ESG/ESCOR (MOLEDO OU ROCHA DECOMPOSTA)</v>
          </cell>
          <cell r="C2509" t="str">
            <v>M3</v>
          </cell>
          <cell r="D2509">
            <v>137.44</v>
          </cell>
        </row>
        <row r="2510">
          <cell r="A2510" t="str">
            <v>79506/1</v>
          </cell>
          <cell r="B2510" t="str">
            <v>ESCAVAÇÃO MANUAL DE VALA/CAVA, A FRIO, EM MATERIAL DE 2A CATEGORIA, MOLEDO OU ROCHA DECOMPOSTA, ENTRE 1,5 E 3M DE PROFUNDIDADE</v>
          </cell>
          <cell r="C2510" t="str">
            <v>M3</v>
          </cell>
          <cell r="D2510">
            <v>87.04</v>
          </cell>
        </row>
        <row r="2511">
          <cell r="A2511" t="str">
            <v>79506/2</v>
          </cell>
          <cell r="B2511" t="str">
            <v>ESCAVAÇÃO MANUAL DE VALA/CAVA EM LODO, ENTRE 3 E 4,5M DE PROFUNDIDADE</v>
          </cell>
          <cell r="C2511" t="str">
            <v>M3</v>
          </cell>
          <cell r="D2511">
            <v>137.44</v>
          </cell>
        </row>
        <row r="2512">
          <cell r="A2512" t="str">
            <v>79506/3</v>
          </cell>
          <cell r="B2512" t="str">
            <v>ESCAVAÇÃO MANUAL DE VALA/CAVA EM LODO, ENTRE 4,5 E 6M DE PROFUNDIDADE</v>
          </cell>
          <cell r="C2512" t="str">
            <v>M3</v>
          </cell>
          <cell r="D2512">
            <v>164.93</v>
          </cell>
        </row>
        <row r="2513">
          <cell r="A2513" t="str">
            <v>79506/9</v>
          </cell>
          <cell r="B2513" t="str">
            <v>ESCAVAÇÃO MANUAL DE VALA/CAVA EM LODO, ENTRE 6 E 7,5M DE PROFUNDIDADE</v>
          </cell>
          <cell r="C2513" t="str">
            <v>M3</v>
          </cell>
          <cell r="D2513">
            <v>192.42</v>
          </cell>
        </row>
        <row r="2514">
          <cell r="A2514" t="str">
            <v>79507/5</v>
          </cell>
          <cell r="B2514" t="str">
            <v>ESCAVACAO MANUAL VALA ATE 1M SOLO MOLE</v>
          </cell>
          <cell r="C2514" t="str">
            <v>M3</v>
          </cell>
          <cell r="D2514">
            <v>11.91</v>
          </cell>
        </row>
        <row r="2515">
          <cell r="A2515" t="str">
            <v>79507/6</v>
          </cell>
          <cell r="B2515" t="str">
            <v>ESCAVACAO MANUAL VALA ATE 2M EM ROCHA C/EXPLOSIVO</v>
          </cell>
          <cell r="C2515" t="str">
            <v>M3</v>
          </cell>
          <cell r="D2515">
            <v>210.21</v>
          </cell>
        </row>
        <row r="2516">
          <cell r="A2516" t="str">
            <v>79518/1</v>
          </cell>
          <cell r="B2516" t="str">
            <v>MARROAMENTO EM MATERIAL DE 3A CATEGORIA, ROCHA VIVA PARA REDUÇÃO A PEDRA-DE-MÃO</v>
          </cell>
          <cell r="C2516" t="str">
            <v>M3</v>
          </cell>
          <cell r="D2516">
            <v>21.99</v>
          </cell>
        </row>
        <row r="2517">
          <cell r="A2517" t="str">
            <v>79518/2</v>
          </cell>
          <cell r="B2517" t="str">
            <v>MARROAMENTO DE MATERIAL DE 2A CATEGORIA, ROCHA DECOMPOSTA PARA REDUÇÃO A PEDRA-DE-MÃO</v>
          </cell>
          <cell r="C2517" t="str">
            <v>M3</v>
          </cell>
          <cell r="D2517">
            <v>19.79</v>
          </cell>
        </row>
        <row r="2518">
          <cell r="A2518">
            <v>83337</v>
          </cell>
          <cell r="B2518" t="str">
            <v>ESCAVACAO MANUAL DE VALAS (SOLO SECO), PROFUNDIDADE MAIOR QUE 4,50 M ATE 6,00 M</v>
          </cell>
          <cell r="C2518" t="str">
            <v>M3</v>
          </cell>
          <cell r="D2518">
            <v>64.14</v>
          </cell>
        </row>
        <row r="2519">
          <cell r="A2519">
            <v>83339</v>
          </cell>
          <cell r="B2519" t="str">
            <v>ESCAVACAO MANUAL DE VALAS (SOLO COM AGUA), PROFUNDIDADE ATE 1,50 M.</v>
          </cell>
          <cell r="C2519" t="str">
            <v>M3</v>
          </cell>
          <cell r="D2519">
            <v>34.36</v>
          </cell>
        </row>
        <row r="2520">
          <cell r="A2520">
            <v>83340</v>
          </cell>
          <cell r="B2520" t="str">
            <v>ESCAVACAO MANUAL DE VALAS (SOLO COM AGUA), PROFUNDIDADE MAIOR QUE 1,50 M ATE 3,00 M</v>
          </cell>
          <cell r="C2520" t="str">
            <v>M3</v>
          </cell>
          <cell r="D2520">
            <v>45.81</v>
          </cell>
        </row>
        <row r="2521">
          <cell r="A2521">
            <v>83341</v>
          </cell>
          <cell r="B2521" t="str">
            <v>ESCAVACAO MECANICA DE VALAS (SOLO COM AGUA), PROFUNDIDADE ATE 1,50 M</v>
          </cell>
          <cell r="C2521" t="str">
            <v>M3</v>
          </cell>
          <cell r="D2521">
            <v>9.16</v>
          </cell>
        </row>
        <row r="2522">
          <cell r="A2522">
            <v>83342</v>
          </cell>
          <cell r="B2522" t="str">
            <v>ESCAVACAO MECANICA DE VALAS (SOLO COM AGUA), PROFUNDIDADE MAIOR QUE 1,50 M ATE 4,00 M</v>
          </cell>
          <cell r="C2522" t="str">
            <v>M3</v>
          </cell>
          <cell r="D2522">
            <v>8.3000000000000007</v>
          </cell>
        </row>
        <row r="2523">
          <cell r="A2523">
            <v>83343</v>
          </cell>
          <cell r="B2523" t="str">
            <v>ESCAVACAO MECANICA DE VALAS (SOLO COM AGUA), PROFUNDIDADE MAIOR QUE 4,00 M ATE 6,00 M.</v>
          </cell>
          <cell r="C2523" t="str">
            <v>M3</v>
          </cell>
          <cell r="D2523">
            <v>12.45</v>
          </cell>
        </row>
        <row r="2524">
          <cell r="A2524">
            <v>5719</v>
          </cell>
          <cell r="B2524" t="str">
            <v>REATERRO APILOADO EM CAMADAS 0,20M, UTILIZANDO MATERIAL ARGILO-ARENOSO ADQUIRIDO EM JAZIDA, JÁ CONSIDERANDO UM ACRÉSCIMO DE 25% NO VOLUME DO MATERIAL ADQUIRIDO, NÃO CONSIDERANDO O TRANSPORTE ATÉ O REATERRO</v>
          </cell>
          <cell r="C2524" t="str">
            <v>M3</v>
          </cell>
          <cell r="D2524">
            <v>34.700000000000003</v>
          </cell>
        </row>
        <row r="2525">
          <cell r="A2525">
            <v>55835</v>
          </cell>
          <cell r="B2525" t="str">
            <v>ATERRO INTERNO (EDIFICACOES) COMPACTADO MANUALMENTE</v>
          </cell>
          <cell r="C2525" t="str">
            <v>M3</v>
          </cell>
          <cell r="D2525">
            <v>32.07</v>
          </cell>
        </row>
        <row r="2526">
          <cell r="A2526" t="str">
            <v>73904/1</v>
          </cell>
          <cell r="B2526" t="str">
            <v>ATERRO APILOADO(MANUAL) EM CAMADAS DE 20 CM COM MATERIAL DE EMPRÉSTIMO.</v>
          </cell>
          <cell r="C2526" t="str">
            <v>M3</v>
          </cell>
          <cell r="D2526">
            <v>63.78</v>
          </cell>
        </row>
        <row r="2527">
          <cell r="A2527" t="str">
            <v>74153/1</v>
          </cell>
          <cell r="B2527" t="str">
            <v>ESPALHAMENTO MECANIZADO (COM MOTONIVELADORA 140 HP) MATERIAL 1A. CATEGORIA</v>
          </cell>
          <cell r="C2527" t="str">
            <v>M2</v>
          </cell>
          <cell r="D2527">
            <v>0.21</v>
          </cell>
        </row>
        <row r="2528">
          <cell r="A2528">
            <v>79481</v>
          </cell>
          <cell r="B2528" t="str">
            <v>ATERRO INTERNO SEM APILOAMENTO COM TRANSPORTE EM CARRINHO DE MAO</v>
          </cell>
          <cell r="C2528" t="str">
            <v>M3</v>
          </cell>
          <cell r="D2528">
            <v>18.32</v>
          </cell>
        </row>
        <row r="2529">
          <cell r="A2529">
            <v>79482</v>
          </cell>
          <cell r="B2529" t="str">
            <v>ATERRO COM AREIA COM ADENSAMENTO HIDRAULICO</v>
          </cell>
          <cell r="C2529" t="str">
            <v>M3</v>
          </cell>
          <cell r="D2529">
            <v>41.06</v>
          </cell>
        </row>
        <row r="2530">
          <cell r="A2530">
            <v>79483</v>
          </cell>
          <cell r="B2530" t="str">
            <v>APILOAMENTO COM MACO DE 30KG</v>
          </cell>
          <cell r="C2530" t="str">
            <v>M2</v>
          </cell>
          <cell r="D2530">
            <v>13.74</v>
          </cell>
        </row>
        <row r="2531">
          <cell r="A2531">
            <v>79484</v>
          </cell>
          <cell r="B2531" t="str">
            <v>ATERRO MECANIZADO COMPACTADO COM EMPRESTIMO DE AREIA</v>
          </cell>
          <cell r="C2531" t="str">
            <v>M3</v>
          </cell>
          <cell r="D2531">
            <v>35.130000000000003</v>
          </cell>
        </row>
        <row r="2532">
          <cell r="A2532" t="str">
            <v>79508/1</v>
          </cell>
          <cell r="B2532" t="str">
            <v>FORNECIMENTO E ENCHIMENTO DE VÃO SOBRE ABÓBADA DE TÚNEL, COM PE-DRA-DE-MÃO JOGADA</v>
          </cell>
          <cell r="C2532" t="str">
            <v>M3</v>
          </cell>
          <cell r="D2532">
            <v>79.59</v>
          </cell>
        </row>
        <row r="2533">
          <cell r="A2533" t="str">
            <v>79508/2</v>
          </cell>
          <cell r="B2533" t="str">
            <v>FORNECIMENTO E ENCHIMENTO DE VÃO SOBRE ABÓBADA DE TÚNEL, COM PE-DRA-DE-MÃO ARRUMADA</v>
          </cell>
          <cell r="C2533" t="str">
            <v>M3</v>
          </cell>
          <cell r="D2533">
            <v>97.92</v>
          </cell>
        </row>
        <row r="2534">
          <cell r="A2534">
            <v>53527</v>
          </cell>
          <cell r="B2534" t="str">
            <v>REATERRO COMPACTADO MANUALMENTE (VALAS DE FUNDAÇÕES RESIDENCIAIS)</v>
          </cell>
          <cell r="C2534" t="str">
            <v>M3</v>
          </cell>
          <cell r="D2534">
            <v>36.65</v>
          </cell>
        </row>
        <row r="2535">
          <cell r="A2535">
            <v>72920</v>
          </cell>
          <cell r="B2535" t="str">
            <v>REATERRO DE VALA COM MATERIAL GRANULAR REAPROVEITADO ADENSADO E VIBRADO</v>
          </cell>
          <cell r="C2535" t="str">
            <v>M3</v>
          </cell>
          <cell r="D2535">
            <v>12.94</v>
          </cell>
        </row>
        <row r="2536">
          <cell r="A2536">
            <v>72921</v>
          </cell>
          <cell r="B2536" t="str">
            <v>REATERRO DE VALA COM MATERIAL GRANULAR DE EMPRESTIMO ADENSADO E VIBRADO</v>
          </cell>
          <cell r="C2536" t="str">
            <v>M3</v>
          </cell>
          <cell r="D2536">
            <v>46.06</v>
          </cell>
        </row>
        <row r="2537">
          <cell r="A2537" t="str">
            <v>73964/1</v>
          </cell>
          <cell r="B2537" t="str">
            <v>REATERRO DE  VALA/CAVA COMPACTADA A MACO EM CAMADAS DE 20CM ( EM BECOS DE ATÉ 2,50M DE LARGURA EM FAVELAS)</v>
          </cell>
          <cell r="C2537" t="str">
            <v>M3</v>
          </cell>
          <cell r="D2537">
            <v>27.48</v>
          </cell>
        </row>
        <row r="2538">
          <cell r="A2538" t="str">
            <v>73964/2</v>
          </cell>
          <cell r="B2538" t="str">
            <v>REATER VALA/CAVA COMPACT/MACO CAMADAS 30CM EM BECO ATE 2,50M          LARGURA EM FAVELAS</v>
          </cell>
          <cell r="C2538" t="str">
            <v>M3</v>
          </cell>
          <cell r="D2538">
            <v>23.09</v>
          </cell>
        </row>
        <row r="2539">
          <cell r="A2539" t="str">
            <v>73964/3</v>
          </cell>
          <cell r="B2539" t="str">
            <v>REATERRO VALA/CAVA C/TRATOR 200CV EXCL COMPACTACAO</v>
          </cell>
          <cell r="C2539" t="str">
            <v>M3</v>
          </cell>
          <cell r="D2539">
            <v>1.91</v>
          </cell>
        </row>
        <row r="2540">
          <cell r="A2540" t="str">
            <v>73964/4</v>
          </cell>
          <cell r="B2540" t="str">
            <v>REATERRO DE VALAS / CAVAS, COMPACTADA A MAÇO, EM CAMADAS DE ATÉ 30 CM.</v>
          </cell>
          <cell r="C2540" t="str">
            <v>M3</v>
          </cell>
          <cell r="D2540">
            <v>19.239999999999998</v>
          </cell>
        </row>
        <row r="2541">
          <cell r="A2541" t="str">
            <v>73964/5</v>
          </cell>
          <cell r="B2541" t="str">
            <v>REATERRO DE VALA/CAVA SEM CONTROLE DE COMPACTAÇÃO , UTILIZANDO RETRO-ESCAVADEIRA E COMPACTACADOR VIBRATORIO COM MATERIAL REAPROVEITADO</v>
          </cell>
          <cell r="C2541" t="str">
            <v>M3</v>
          </cell>
          <cell r="D2541">
            <v>7.38</v>
          </cell>
        </row>
        <row r="2542">
          <cell r="A2542" t="str">
            <v>73964/6</v>
          </cell>
          <cell r="B2542" t="str">
            <v>REATERRO DE VALA COM COMPACTAÇÃO MANUAL</v>
          </cell>
          <cell r="C2542" t="str">
            <v>M3</v>
          </cell>
          <cell r="D2542">
            <v>27.48</v>
          </cell>
        </row>
        <row r="2543">
          <cell r="A2543" t="str">
            <v>74015/1</v>
          </cell>
          <cell r="B2543" t="str">
            <v>REATERRO E COMPACTACAO MECANICO DE VALA COM COMPACTADOR MANUAL TIPO SOQUETE VIBRATORIO</v>
          </cell>
          <cell r="C2543" t="str">
            <v>M3</v>
          </cell>
          <cell r="D2543">
            <v>20.54</v>
          </cell>
        </row>
        <row r="2544">
          <cell r="A2544" t="str">
            <v>76444/1</v>
          </cell>
          <cell r="B2544" t="str">
            <v>COMPACTACAO MECANICA DE VALAS, SEM CONTROLE DE GC (COMPACTADOR TIPO SAPO ATE 35 KG)</v>
          </cell>
          <cell r="C2544" t="str">
            <v>M3</v>
          </cell>
          <cell r="D2544">
            <v>8.75</v>
          </cell>
        </row>
        <row r="2545">
          <cell r="A2545" t="str">
            <v>76444/2</v>
          </cell>
          <cell r="B2545" t="str">
            <v>COMPACTACAO MECANICA DE VALAS,C/CONTR.DO GC &gt;= 95% DO PN(C/COMPACTADORSOLOS C/ PLACA VIBRATORIA MOTOR DIESEL/GASOLINA 7 A 10 HP)</v>
          </cell>
          <cell r="C2545" t="str">
            <v>M3</v>
          </cell>
          <cell r="D2545">
            <v>12.8</v>
          </cell>
        </row>
        <row r="2546">
          <cell r="A2546">
            <v>79488</v>
          </cell>
          <cell r="B2546" t="str">
            <v>REATERRO MANUAL COM APILOAMENTO MECANICO</v>
          </cell>
          <cell r="C2546" t="str">
            <v>M3</v>
          </cell>
          <cell r="D2546">
            <v>4.71</v>
          </cell>
        </row>
        <row r="2547">
          <cell r="A2547">
            <v>79489</v>
          </cell>
          <cell r="B2547" t="str">
            <v>REATERRO MANUAL SEM APILOAMENTO</v>
          </cell>
          <cell r="C2547" t="str">
            <v>M3</v>
          </cell>
          <cell r="D2547">
            <v>4.12</v>
          </cell>
        </row>
        <row r="2548">
          <cell r="A2548">
            <v>79490</v>
          </cell>
          <cell r="B2548" t="str">
            <v>COMPACTAÇÂO MECÂNICA DE VALA (APÓS REATERRO)</v>
          </cell>
          <cell r="C2548" t="str">
            <v>M3</v>
          </cell>
          <cell r="D2548">
            <v>1.28</v>
          </cell>
        </row>
        <row r="2549">
          <cell r="A2549" t="str">
            <v>79510/1</v>
          </cell>
          <cell r="B2549" t="str">
            <v>FORNECIMENTO E REATERRO DE VALA/CAVA COM PÓ-DE-PEDRA</v>
          </cell>
          <cell r="C2549" t="str">
            <v>M3</v>
          </cell>
          <cell r="D2549">
            <v>79.62</v>
          </cell>
        </row>
        <row r="2550">
          <cell r="A2550" t="str">
            <v>79510/2</v>
          </cell>
          <cell r="B2550" t="str">
            <v>REATERRO DE VALAS/CAVAS COM PÓ-DE-PEDRA, INCLUSIVE MATERIAL E COMPACTAÇÃO, EM BECOS DE ATÉ 2,5M DE LARGURA, EM FAVELAS</v>
          </cell>
          <cell r="C2550" t="str">
            <v>M3</v>
          </cell>
          <cell r="D2550">
            <v>85.3</v>
          </cell>
        </row>
        <row r="2551">
          <cell r="A2551">
            <v>83345</v>
          </cell>
          <cell r="B2551" t="str">
            <v>REATERRO DE VALA COM MATERIAL GRANULAR (PEDRISCO)</v>
          </cell>
          <cell r="C2551" t="str">
            <v>M3</v>
          </cell>
          <cell r="D2551">
            <v>63.17</v>
          </cell>
        </row>
        <row r="2552">
          <cell r="A2552">
            <v>83346</v>
          </cell>
          <cell r="B2552" t="str">
            <v>UMEDECIMENTO DE MATERIAL PARA FECHAMENTO DE VALAS.</v>
          </cell>
          <cell r="C2552" t="str">
            <v>M3</v>
          </cell>
          <cell r="D2552">
            <v>0.75</v>
          </cell>
        </row>
        <row r="2553">
          <cell r="A2553">
            <v>83441</v>
          </cell>
          <cell r="B2553" t="str">
            <v>REATERRO APILOADO (MANUAL) DE VALA COM DESLOCAMENTO DE MATERIAL EM CAMADAS DE 20 CM (BECOS, FAVELAS ETC.)</v>
          </cell>
          <cell r="C2553" t="str">
            <v>M3</v>
          </cell>
          <cell r="D2553">
            <v>32.07</v>
          </cell>
        </row>
        <row r="2554">
          <cell r="A2554">
            <v>72818</v>
          </cell>
          <cell r="B2554" t="str">
            <v>ESCAVACAO, CARGA E TRANSPORTE DE MATERIAL DE 1A CATEGORIA, CAMINHO DE SERVICO LEITO NATURAL, COM ESCAVADEIRA HIDRAULICA E CAMINHAO BASCULANTE 6 M3, DMT 50 ATE 200 M</v>
          </cell>
          <cell r="C2554" t="str">
            <v>M3</v>
          </cell>
          <cell r="D2554">
            <v>4.63</v>
          </cell>
        </row>
        <row r="2555">
          <cell r="A2555">
            <v>72821</v>
          </cell>
          <cell r="B2555" t="str">
            <v>ESCAVACAO, CARGA E TRANSPORTE DE MATERIAL DE 1A CATEGORIA, CAMINHO DE SERVICO LEITO NATURAL, COM ESCAVADEIRA HIDRAULICA E CAMINHAO BASCULANTE 6 M3, DMT 200 ATE 400 M</v>
          </cell>
          <cell r="C2555" t="str">
            <v>M3</v>
          </cell>
          <cell r="D2555">
            <v>4.72</v>
          </cell>
        </row>
        <row r="2556">
          <cell r="A2556">
            <v>72822</v>
          </cell>
          <cell r="B2556" t="str">
            <v>ESCAVACAO, CARGA E TRANSPORTE DE MATERIAL DE 1A CATEGORIA, CAMINHO DE SERVICO LEITO NATURAL, COM ESCAVADEIRA HIDRAULICA E CAMINHAO BASCULANTE 6 M3, DMT 400 ATE 600 M</v>
          </cell>
          <cell r="C2556" t="str">
            <v>M3</v>
          </cell>
          <cell r="D2556">
            <v>4.8</v>
          </cell>
        </row>
        <row r="2557">
          <cell r="A2557">
            <v>72823</v>
          </cell>
          <cell r="B2557" t="str">
            <v>ESCAVACAO, CARGA E TRANSPORTE DE MATERIAL DE 1A CATEGORIA, CAMINHO DE SERVICO LEITO NATURAL, COM ESCAVADEIRA HIDRAULICA E CAMINHAO BASCULANTE 6 M3, DMT 600 ATE 800 M</v>
          </cell>
          <cell r="C2557" t="str">
            <v>M3</v>
          </cell>
          <cell r="D2557">
            <v>4.87</v>
          </cell>
        </row>
        <row r="2558">
          <cell r="A2558">
            <v>72824</v>
          </cell>
          <cell r="B2558" t="str">
            <v>ESCAVACAO, CARGA E TRANSPORTE DE MATERIAL DE 1A CATEGORIA, CAMINHO DE SERVICO LEITO NATURAL, COM ESCAVADEIRA HIDRAULICA E CAMINHAO BASCULANTE 6 M3, DMT 800 ATE 1.000 M</v>
          </cell>
          <cell r="C2558" t="str">
            <v>M3</v>
          </cell>
          <cell r="D2558">
            <v>5.0199999999999996</v>
          </cell>
        </row>
        <row r="2559">
          <cell r="A2559">
            <v>72825</v>
          </cell>
          <cell r="B2559" t="str">
            <v>ESCAVACAO, CARGA E TRANSPORTE DE MATERIAL DE 1A CATEGORIA, CAMINHO DE SERVICO REVESTIMENTO PRIMARIO, COM ESCAVADEIRA HIDRAULICA E CAMINHAO BASCULANTE 6 M3, DMT 50 ATE 200 M</v>
          </cell>
          <cell r="C2559" t="str">
            <v>M3</v>
          </cell>
          <cell r="D2559">
            <v>4.33</v>
          </cell>
        </row>
        <row r="2560">
          <cell r="A2560">
            <v>72826</v>
          </cell>
          <cell r="B2560" t="str">
            <v>ESCAVACAO, CARGA E TRANSPORTE DE MATERIAL DE 1A CATEGORIA, CAMINHO DE SERVICO REVESTIMENTO PRIMARIO, COM ESCAVADEIRA HIDRAULICA E CAMINHAO BASCULANTE 6 M3, DMT 200 ATE 400 M</v>
          </cell>
          <cell r="C2560" t="str">
            <v>M3</v>
          </cell>
          <cell r="D2560">
            <v>4.4000000000000004</v>
          </cell>
        </row>
        <row r="2561">
          <cell r="A2561">
            <v>72827</v>
          </cell>
          <cell r="B2561" t="str">
            <v>ESCAVACAO, CARGA E TRANSPORTE DE MATERIAL DE 1A CATEGORIA, CAMINHO DE SERVICO REVESTIMENTO PRIMARIO, COM ESCAVADEIRA HIDRAULICA E CAMINHAO BASCULANTE 6 M3, DMT 400 ATE 600 M</v>
          </cell>
          <cell r="C2561" t="str">
            <v>M3</v>
          </cell>
          <cell r="D2561">
            <v>4.49</v>
          </cell>
        </row>
        <row r="2562">
          <cell r="A2562">
            <v>72828</v>
          </cell>
          <cell r="B2562" t="str">
            <v>ESCAVACAO, CARGA E TRANSPORTE DE MATERIAL DE 1A CATEGORIA, CAMINHO DE SERVICO REVESTIMENTO PRIMARIO, COM ESCAVADEIRA HIDRAULICA E CAMINHAO BASCULANTE 6 M3, DMT 600 ATE 800 M</v>
          </cell>
          <cell r="C2562" t="str">
            <v>M3</v>
          </cell>
          <cell r="D2562">
            <v>4.57</v>
          </cell>
        </row>
        <row r="2563">
          <cell r="A2563">
            <v>72829</v>
          </cell>
          <cell r="B2563" t="str">
            <v>ESCAVACAO, CARGA E TRANSPORTE DE MATERIAL DE 1A CATEGORIA, CAMINHO DE SERVICO REVESTIMENTO PRIMARIO, COM ESCAVADEIRA HIDRAULICA E CAMINHAO BASCULANTE 6 M3, DMT 800 ATE 1.000 M</v>
          </cell>
          <cell r="C2563" t="str">
            <v>M3</v>
          </cell>
          <cell r="D2563">
            <v>4.66</v>
          </cell>
        </row>
        <row r="2564">
          <cell r="A2564">
            <v>72832</v>
          </cell>
          <cell r="B2564" t="str">
            <v>ESCAVACAO, CARGA E TRANSPORTE DE MATERIAL DE 1A CATEGORIA, CAMINHO DE SERVICO PAVIMENTADO, COM ESCAVADEIRA HIDRAULICA E CAMINHAO BASCULANTE 6 M3, DMT 50 ATE 200 M</v>
          </cell>
          <cell r="C2564" t="str">
            <v>M3</v>
          </cell>
          <cell r="D2564">
            <v>4.0999999999999996</v>
          </cell>
        </row>
        <row r="2565">
          <cell r="A2565">
            <v>72833</v>
          </cell>
          <cell r="B2565" t="str">
            <v>ESCAVACAO, CARGA E TRANSPORTE DE MATERIAL DE 1A CATEGORIA, CAMINHO DE SERVICO PAVIMENTADO, COM ESCAVADEIRA HIDRAULICA E CAMINHAO BASCULANTE 6 M3, DMT 200 ATE 400 M</v>
          </cell>
          <cell r="C2565" t="str">
            <v>M3</v>
          </cell>
          <cell r="D2565">
            <v>4.17</v>
          </cell>
        </row>
        <row r="2566">
          <cell r="A2566">
            <v>72834</v>
          </cell>
          <cell r="B2566" t="str">
            <v>ESCAVACAO, CARGA E TRANSPORTE DE MATERIAL DE 1A CATEGORIA, CAMINHO DE SERVICO PAVIMENTADO, COM ESCAVADEIRA HIDRAULICA E CAMINHAO BASCULANTE 6 M3, DMT 400 ATE 600 M</v>
          </cell>
          <cell r="C2566" t="str">
            <v>M3</v>
          </cell>
          <cell r="D2566">
            <v>4.24</v>
          </cell>
        </row>
        <row r="2567">
          <cell r="A2567">
            <v>72835</v>
          </cell>
          <cell r="B2567" t="str">
            <v>ESCAVACAO, CARGA E TRANSPORTE DE MATERIAL DE 1A CATEGORIA, CAMINHO DE SERVICO PAVIMENTADO, COM ESCAVADEIRA HIDRAULICA E CAMINHAO BASCULANTE 6 M3, DMT 600 ATE 800 M</v>
          </cell>
          <cell r="C2567" t="str">
            <v>M3</v>
          </cell>
          <cell r="D2567">
            <v>4.3099999999999996</v>
          </cell>
        </row>
        <row r="2568">
          <cell r="A2568">
            <v>72836</v>
          </cell>
          <cell r="B2568" t="str">
            <v>ESCAVACAO, CARGA E TRANSPORTE DE MATERIAL DE 1A CATEGORIA, CAMINHO DE SERVICO PAVIMENTADO, COM ESCAVADEIRA HIDRAULICA E CAMINHAO BASCULANTE 6 M3, DMT 800 ATE 1.000 M</v>
          </cell>
          <cell r="C2568" t="str">
            <v>M3</v>
          </cell>
          <cell r="D2568">
            <v>4.3899999999999997</v>
          </cell>
        </row>
        <row r="2569">
          <cell r="A2569">
            <v>72838</v>
          </cell>
          <cell r="B2569" t="str">
            <v>TRANSPORTE COMERCIAL COM CAMINHAO CARROCERIA 9 T, RODOVIA EM LEITO NATURAL</v>
          </cell>
          <cell r="C2569" t="str">
            <v>TXKM</v>
          </cell>
          <cell r="D2569">
            <v>0.73</v>
          </cell>
        </row>
        <row r="2570">
          <cell r="A2570">
            <v>72839</v>
          </cell>
          <cell r="B2570" t="str">
            <v>TRANSPORTE COMERCIAL COM CAMINHAO CARROCERIA 9 T, RODOVIA COM REVESTIMENTO PRIMARIO</v>
          </cell>
          <cell r="C2570" t="str">
            <v>TXKM</v>
          </cell>
          <cell r="D2570">
            <v>0.59</v>
          </cell>
        </row>
        <row r="2571">
          <cell r="A2571">
            <v>72840</v>
          </cell>
          <cell r="B2571" t="str">
            <v>TRANSPORTE COMERCIAL COM CAMINHAO CARROCERIA 9 T, RODOVIA PAVIMENTADA</v>
          </cell>
          <cell r="C2571" t="str">
            <v>TXKM</v>
          </cell>
          <cell r="D2571">
            <v>0.49</v>
          </cell>
        </row>
        <row r="2572">
          <cell r="A2572">
            <v>72841</v>
          </cell>
          <cell r="B2572" t="str">
            <v>TRANSPORTE COMERCIAL COM CAMINHAO BASCULANTE 6 M3, RODOVIA EM LEITO NATURAL</v>
          </cell>
          <cell r="C2572" t="str">
            <v>TXKM</v>
          </cell>
          <cell r="D2572">
            <v>0.78</v>
          </cell>
        </row>
        <row r="2573">
          <cell r="A2573">
            <v>72842</v>
          </cell>
          <cell r="B2573" t="str">
            <v>TRANSPORTE COMERCIAL COM CAMINHAO BASCULANTE 6 M3, RODOVIA COM REVESTIMENTO PRIMARIO</v>
          </cell>
          <cell r="C2573" t="str">
            <v>TXKM</v>
          </cell>
          <cell r="D2573">
            <v>0.63</v>
          </cell>
        </row>
        <row r="2574">
          <cell r="A2574">
            <v>72843</v>
          </cell>
          <cell r="B2574" t="str">
            <v>TRANSPORTE COMERCIAL COM CAMINHAO BASCULANTE 6 M3, RODOVIA PAVIMENTADA</v>
          </cell>
          <cell r="C2574" t="str">
            <v>TXKM</v>
          </cell>
          <cell r="D2574">
            <v>0.52</v>
          </cell>
        </row>
        <row r="2575">
          <cell r="A2575">
            <v>72844</v>
          </cell>
          <cell r="B2575" t="str">
            <v>CARGA, MANOBRAS E DESCARGA DE AREIA, BRITA, PEDRA DE MAO E SOLOS COM CAMINHAO BASCULANTE 6 M3 (DESCARGA LIVRE)</v>
          </cell>
          <cell r="C2575" t="str">
            <v>T</v>
          </cell>
          <cell r="D2575">
            <v>0.55000000000000004</v>
          </cell>
        </row>
        <row r="2576">
          <cell r="A2576">
            <v>72845</v>
          </cell>
          <cell r="B2576" t="str">
            <v>CARGA, MANOBRAS E DESCARGA DE BRITA PARA TRATAMENTOS SUPERFICIAIS, COM CAMINHAO BASCULANTE 6 M3</v>
          </cell>
          <cell r="C2576" t="str">
            <v>T</v>
          </cell>
          <cell r="D2576">
            <v>3.3</v>
          </cell>
        </row>
        <row r="2577">
          <cell r="A2577">
            <v>72846</v>
          </cell>
          <cell r="B2577" t="str">
            <v>CARGA, MANOBRAS E DESCARGA DE MISTURA BETUMINOSA A QUENTE, COM CAMINHAO BASCULANTE 6 M3</v>
          </cell>
          <cell r="C2577" t="str">
            <v>T</v>
          </cell>
          <cell r="D2577">
            <v>2.73</v>
          </cell>
        </row>
        <row r="2578">
          <cell r="A2578">
            <v>72847</v>
          </cell>
          <cell r="B2578" t="str">
            <v>CARGA, MANOBRAS E DESCARGA DE MISTURA BETUMINOSA A FRIO, COM CAMINHAO BASCULANTE 6 M3</v>
          </cell>
          <cell r="C2578" t="str">
            <v>T</v>
          </cell>
          <cell r="D2578">
            <v>5.88</v>
          </cell>
        </row>
        <row r="2579">
          <cell r="A2579">
            <v>72848</v>
          </cell>
          <cell r="B2579" t="str">
            <v>CARGA, MANOBRAS E DESCARGA DE BRITA PARA BASE DE MACADAME, COM CAMINHAO BASCULANTE 6 M3</v>
          </cell>
          <cell r="C2579" t="str">
            <v>T</v>
          </cell>
          <cell r="D2579">
            <v>1.47</v>
          </cell>
        </row>
        <row r="2580">
          <cell r="A2580">
            <v>72849</v>
          </cell>
          <cell r="B2580" t="str">
            <v>CARGA, MANOBRAS E DESCARGA DE MISTURAS DE SOLOS E AGREGADOS (BASES ESTABILIZADAS EM USINA) COM CAMINHAO BASCULANTE 6 M3</v>
          </cell>
          <cell r="C2580" t="str">
            <v>T</v>
          </cell>
          <cell r="D2580">
            <v>1.88</v>
          </cell>
        </row>
        <row r="2581">
          <cell r="A2581">
            <v>72850</v>
          </cell>
          <cell r="B2581" t="str">
            <v>CARGA, MANOBRAS E DESCARGA DE MATERIAIS DIVERSOS, COM CAMINHAO CARROCERIA 9T (CARGA E DESCARGA MANUAIS)</v>
          </cell>
          <cell r="C2581" t="str">
            <v>T</v>
          </cell>
          <cell r="D2581">
            <v>9.24</v>
          </cell>
        </row>
        <row r="2582">
          <cell r="A2582">
            <v>72851</v>
          </cell>
          <cell r="B2582" t="str">
            <v>TRANSPORTE LOCAL COM CAMINHAO BASCULANTE 6 M3, RODOVIA EM LEITO NATURAL, DMT ATE 200 M</v>
          </cell>
          <cell r="C2582" t="str">
            <v>M3</v>
          </cell>
          <cell r="D2582">
            <v>2.68</v>
          </cell>
        </row>
        <row r="2583">
          <cell r="A2583">
            <v>72852</v>
          </cell>
          <cell r="B2583" t="str">
            <v>TRANSPORTE LOCAL COM CAMINHAO BASCULANTE 6 M3, RODOVIA EM LEITO NATURAL, DMT 200 A 400 M</v>
          </cell>
          <cell r="C2583" t="str">
            <v>M3</v>
          </cell>
          <cell r="D2583">
            <v>2.75</v>
          </cell>
        </row>
        <row r="2584">
          <cell r="A2584">
            <v>72853</v>
          </cell>
          <cell r="B2584" t="str">
            <v>TRANSPORTE LOCAL COM CAMINHAO BASCULANTE 6 M3, RODOVIA EM LEITO NATURAL, DMT 400 A 600 M</v>
          </cell>
          <cell r="C2584" t="str">
            <v>M3</v>
          </cell>
          <cell r="D2584">
            <v>2.82</v>
          </cell>
        </row>
        <row r="2585">
          <cell r="A2585">
            <v>72854</v>
          </cell>
          <cell r="B2585" t="str">
            <v>TRANSPORTE LOCAL COM CAMINHAO BASCULANTE 6 M3, RODOVIA EM LEITO NATURAL, DMT 600 A 800 M</v>
          </cell>
          <cell r="C2585" t="str">
            <v>M3</v>
          </cell>
          <cell r="D2585">
            <v>2.9</v>
          </cell>
        </row>
        <row r="2586">
          <cell r="A2586">
            <v>72855</v>
          </cell>
          <cell r="B2586" t="str">
            <v>TRANSPORTE LOCAL COM CAMINHAO BASCULANTE 6 M3, RODOVIA EM LEITO NATURAL, DMT 800 A 1.000 M</v>
          </cell>
          <cell r="C2586" t="str">
            <v>M3</v>
          </cell>
          <cell r="D2586">
            <v>2.98</v>
          </cell>
        </row>
        <row r="2587">
          <cell r="A2587">
            <v>72856</v>
          </cell>
          <cell r="B2587" t="str">
            <v>TRANSPORTE LOCAL COM CAMINHAO BASCULANTE 6 M3, RODOVIA EM LEITO NATURAL</v>
          </cell>
          <cell r="C2587" t="str">
            <v>M3XKM</v>
          </cell>
          <cell r="D2587">
            <v>1.3</v>
          </cell>
        </row>
        <row r="2588">
          <cell r="A2588">
            <v>72857</v>
          </cell>
          <cell r="B2588" t="str">
            <v>TRANSPORTE LOCAL COM CAMINHAO BASCULANTE 6 M3, RODOVIA COM REVESTIMENTO PRIMARIO, DMT ATE 200 M</v>
          </cell>
          <cell r="C2588" t="str">
            <v>M3</v>
          </cell>
          <cell r="D2588">
            <v>2.38</v>
          </cell>
        </row>
        <row r="2589">
          <cell r="A2589">
            <v>72858</v>
          </cell>
          <cell r="B2589" t="str">
            <v>TRANSPORTE LOCAL COM CAMINHAO BASCULANTE 6 M3, RODOVIA COM REVESTIMENTO PRIMARIO, DMT 200 A 400 M</v>
          </cell>
          <cell r="C2589" t="str">
            <v>M3</v>
          </cell>
          <cell r="D2589">
            <v>2.44</v>
          </cell>
        </row>
        <row r="2590">
          <cell r="A2590">
            <v>72859</v>
          </cell>
          <cell r="B2590" t="str">
            <v>TRANSPORTE LOCAL COM CAMINHAO BASCULANTE 6 M3, RODOVIA COM REVESTIMENTO PRIMARIO, DMT 400 A 600 M</v>
          </cell>
          <cell r="C2590" t="str">
            <v>M3</v>
          </cell>
          <cell r="D2590">
            <v>2.5099999999999998</v>
          </cell>
        </row>
        <row r="2591">
          <cell r="A2591">
            <v>72860</v>
          </cell>
          <cell r="B2591" t="str">
            <v>TRANSPORTE LOCAL COM CAMINHAO BASCULANTE 6 M3, RODOVIA COM REVESTIMENTO PRIMARIO, DMT 600 A 800 M</v>
          </cell>
          <cell r="C2591" t="str">
            <v>M3</v>
          </cell>
          <cell r="D2591">
            <v>2.58</v>
          </cell>
        </row>
        <row r="2592">
          <cell r="A2592">
            <v>72874</v>
          </cell>
          <cell r="B2592" t="str">
            <v>TRANSPORTE LOCAL COM CAMINHAO BASCULANTE 6 M3, RODOVIA COM REVESTIMENTO PRIMARIO, DMT 800 A 1.000 M</v>
          </cell>
          <cell r="C2592" t="str">
            <v>M3</v>
          </cell>
          <cell r="D2592">
            <v>2.66</v>
          </cell>
        </row>
        <row r="2593">
          <cell r="A2593">
            <v>72875</v>
          </cell>
          <cell r="B2593" t="str">
            <v>TRANSPORTE LOCAL COM CAMINHÃO BASCULANTE 6 M3, RODOVIA COM REVESTIMENTO PRIMARIO</v>
          </cell>
          <cell r="C2593" t="str">
            <v>M3XKM</v>
          </cell>
          <cell r="D2593">
            <v>1.1599999999999999</v>
          </cell>
        </row>
        <row r="2594">
          <cell r="A2594">
            <v>72876</v>
          </cell>
          <cell r="B2594" t="str">
            <v>TRANSPORTE LOCAL COM CAMINHÃO BASCULANTE 6 M3, RODOVIA PAVIMENTADA, DMT ATE 200 M</v>
          </cell>
          <cell r="C2594" t="str">
            <v>M3</v>
          </cell>
          <cell r="D2594">
            <v>2.14</v>
          </cell>
        </row>
        <row r="2595">
          <cell r="A2595">
            <v>72877</v>
          </cell>
          <cell r="B2595" t="str">
            <v>TRANSPORTE LOCAL COM CAMINHAO BASCULANTE 6 M3, RODOVIA PAVIMENTADA, DMT 200 A 400 M</v>
          </cell>
          <cell r="C2595" t="str">
            <v>M3</v>
          </cell>
          <cell r="D2595">
            <v>2.2000000000000002</v>
          </cell>
        </row>
        <row r="2596">
          <cell r="A2596">
            <v>72878</v>
          </cell>
          <cell r="B2596" t="str">
            <v>TRANSPORTE LOCAL COM CAMINHAO BASCULANTE 6 M3, RODOVIA PAVIMENTADA, DMT 400 A 600 M</v>
          </cell>
          <cell r="C2596" t="str">
            <v>M3</v>
          </cell>
          <cell r="D2596">
            <v>2.25</v>
          </cell>
        </row>
        <row r="2597">
          <cell r="A2597">
            <v>72879</v>
          </cell>
          <cell r="B2597" t="str">
            <v>TRANSPORTE LOCAL COM CAMINHAO BASCULANTE 6 M3, RODOVIA PAVIMENTADA, DMT 600 A 800 M</v>
          </cell>
          <cell r="C2597" t="str">
            <v>M3</v>
          </cell>
          <cell r="D2597">
            <v>2.33</v>
          </cell>
        </row>
        <row r="2598">
          <cell r="A2598">
            <v>72880</v>
          </cell>
          <cell r="B2598" t="str">
            <v>TRANSPORTE LOCAL COM CAMINHAO BASCULANTE 6 M3, RODOVIA PAVIMENTADA, DMT 800 A 1.000 M</v>
          </cell>
          <cell r="C2598" t="str">
            <v>M3</v>
          </cell>
          <cell r="D2598">
            <v>2.38</v>
          </cell>
        </row>
        <row r="2599">
          <cell r="A2599">
            <v>72881</v>
          </cell>
          <cell r="B2599" t="str">
            <v>TRANSPORTE LOCAL COM CAMINHAO BASCULANTE 6 M3, RODOVIA PAVIMENTADA ( PARA DISTANCIAS SUPERIORES A 4 KM )</v>
          </cell>
          <cell r="C2599" t="str">
            <v>M3XKM</v>
          </cell>
          <cell r="D2599">
            <v>1.04</v>
          </cell>
        </row>
        <row r="2600">
          <cell r="A2600">
            <v>72882</v>
          </cell>
          <cell r="B2600" t="str">
            <v>TRANSPORTE COMERCIAL COM CAMINHAO CARROCERIA 9 T, RODOVIA EM LEITO NATURAL</v>
          </cell>
          <cell r="C2600" t="str">
            <v>M3XKM</v>
          </cell>
          <cell r="D2600">
            <v>1.0900000000000001</v>
          </cell>
        </row>
        <row r="2601">
          <cell r="A2601">
            <v>72883</v>
          </cell>
          <cell r="B2601" t="str">
            <v>TRANSPORTE COMERCIAL COM CAMINHAO CARROCERIA 9 T, RODOVIA COM REVESTIMENTO PRIMARIO</v>
          </cell>
          <cell r="C2601" t="str">
            <v>M3XKM</v>
          </cell>
          <cell r="D2601">
            <v>0.87</v>
          </cell>
        </row>
        <row r="2602">
          <cell r="A2602">
            <v>72884</v>
          </cell>
          <cell r="B2602" t="str">
            <v>TRANSPORTE COMERCIAL COM CAMINHAO CARROCERIA 9 T, RODOVIA PAVIMENTADA</v>
          </cell>
          <cell r="C2602" t="str">
            <v>M3XKM</v>
          </cell>
          <cell r="D2602">
            <v>0.73</v>
          </cell>
        </row>
        <row r="2603">
          <cell r="A2603">
            <v>72885</v>
          </cell>
          <cell r="B2603" t="str">
            <v>TRANSPORTE COMERCIAL COM CAMINHAO BASCULANTE 6 M3, RODOVIA EM LEITO NATURAL</v>
          </cell>
          <cell r="C2603" t="str">
            <v>M3XKM</v>
          </cell>
          <cell r="D2603">
            <v>1.17</v>
          </cell>
        </row>
        <row r="2604">
          <cell r="A2604">
            <v>72886</v>
          </cell>
          <cell r="B2604" t="str">
            <v>TRANSPORTE COMERCIAL COM CAMINHAO BASCULANTE 6 M3, RODOVIA COM REVESTIMENTO PRIMARIO</v>
          </cell>
          <cell r="C2604" t="str">
            <v>M3XKM</v>
          </cell>
          <cell r="D2604">
            <v>0.94</v>
          </cell>
        </row>
        <row r="2605">
          <cell r="A2605">
            <v>72887</v>
          </cell>
          <cell r="B2605" t="str">
            <v>TRANSPORTE COMERCIAL COM CAMINHAO BASCULANTE 6 M3, RODOVIA PAVIMENTADA</v>
          </cell>
          <cell r="C2605" t="str">
            <v>M3XKM</v>
          </cell>
          <cell r="D2605">
            <v>0.78</v>
          </cell>
        </row>
        <row r="2606">
          <cell r="A2606">
            <v>72888</v>
          </cell>
          <cell r="B2606" t="str">
            <v>CARGA, MANOBRAS E DESCARGA DE AREIA, BRITA, PEDRA DE MAO E SOLOS COM CAMINHAO BASCULANTE 6 M3 (DESCARGA LIVRE)</v>
          </cell>
          <cell r="C2606" t="str">
            <v>M3</v>
          </cell>
          <cell r="D2606">
            <v>0.82</v>
          </cell>
        </row>
        <row r="2607">
          <cell r="A2607">
            <v>72890</v>
          </cell>
          <cell r="B2607" t="str">
            <v>CARGA, MANOBRAS E DESCARGA DE BRITA PARA TRATAMENTOS SUPERFICIAIS, COM CAMINHAO BASCULANTE 6 M3, DESCARGA EM DISTRIBUIDOR</v>
          </cell>
          <cell r="C2607" t="str">
            <v>M3</v>
          </cell>
          <cell r="D2607">
            <v>4.96</v>
          </cell>
        </row>
        <row r="2608">
          <cell r="A2608">
            <v>72891</v>
          </cell>
          <cell r="B2608" t="str">
            <v>CARGA, MANOBRAS E DESCARGA DE MISTURA BETUMINOSA A QUENTE, COM CAMINHAO BASCULANTE 6 M3, DESCARGA EM VIBRO-ACABADORA</v>
          </cell>
          <cell r="C2608" t="str">
            <v>M3</v>
          </cell>
          <cell r="D2608">
            <v>4.09</v>
          </cell>
        </row>
        <row r="2609">
          <cell r="A2609">
            <v>72892</v>
          </cell>
          <cell r="B2609" t="str">
            <v>CARGA, MANOBRAS E DESCARGA DE DE MISTURA BETUMINOSA A FRIO, COM CAMINHAO BASCULANTE 6 M3, DESCARGA EM VIBRO-ACABADORA</v>
          </cell>
          <cell r="C2609" t="str">
            <v>M3</v>
          </cell>
          <cell r="D2609">
            <v>8.82</v>
          </cell>
        </row>
        <row r="2610">
          <cell r="A2610">
            <v>72893</v>
          </cell>
          <cell r="B2610" t="str">
            <v>CARGA, MANOBRAS E DESCARGA DE BRITA PARA BASE DE MACADAME, COM CAMINHAO BASCULANTE 6 M3, DESCARGA EM DISTRIBUIDOR</v>
          </cell>
          <cell r="C2610" t="str">
            <v>M3</v>
          </cell>
          <cell r="D2610">
            <v>2.2000000000000002</v>
          </cell>
        </row>
        <row r="2611">
          <cell r="A2611">
            <v>72894</v>
          </cell>
          <cell r="B2611" t="str">
            <v>CARGA, MANOBRAS E DESCARGA DE MISTURAS DE SOLOS E AGREGADOS, COM CAMINHAO BASCULANTE 6 M3, DESCARGA EM DISTRIBUIDOR</v>
          </cell>
          <cell r="C2611" t="str">
            <v>M3</v>
          </cell>
          <cell r="D2611">
            <v>2.82</v>
          </cell>
        </row>
        <row r="2612">
          <cell r="A2612">
            <v>72895</v>
          </cell>
          <cell r="B2612" t="str">
            <v>CARGA, MANOBRAS E DESCARGA DE MATERIAIS DIVERSOS, COM CAMINHAO CARROCERIA 9 T (CARGA E DESCARGA MANUAIS)</v>
          </cell>
          <cell r="C2612" t="str">
            <v>M3</v>
          </cell>
          <cell r="D2612">
            <v>14.88</v>
          </cell>
        </row>
        <row r="2613">
          <cell r="A2613">
            <v>72896</v>
          </cell>
          <cell r="B2613" t="str">
            <v>CARGA MANUAL DE TERRA EM CAMINHAO BASCULANTE 6 M3</v>
          </cell>
          <cell r="C2613" t="str">
            <v>M3</v>
          </cell>
          <cell r="D2613">
            <v>12.89</v>
          </cell>
        </row>
        <row r="2614">
          <cell r="A2614">
            <v>72897</v>
          </cell>
          <cell r="B2614" t="str">
            <v>CARGA MANUAL DE ENTULHO EM CAMINHAO BASCULANTE 6 M3</v>
          </cell>
          <cell r="C2614" t="str">
            <v>M3</v>
          </cell>
          <cell r="D2614">
            <v>15.66</v>
          </cell>
        </row>
        <row r="2615">
          <cell r="A2615">
            <v>72898</v>
          </cell>
          <cell r="B2615" t="str">
            <v>CARGA E DESCARGA MECANIZADAS DE ENTULHO EM CAMINHAO BASCULANTE 6 M3</v>
          </cell>
          <cell r="C2615" t="str">
            <v>M3</v>
          </cell>
          <cell r="D2615">
            <v>0.82</v>
          </cell>
        </row>
        <row r="2616">
          <cell r="A2616">
            <v>72899</v>
          </cell>
          <cell r="B2616" t="str">
            <v>TRANSPORTE DE ENTULHO COM CAMINHÃO BASCULANTE 6 M3, RODOVIA PAVIMENTADA, DMT ATE 0,5 KM</v>
          </cell>
          <cell r="C2616" t="str">
            <v>M3</v>
          </cell>
          <cell r="D2616">
            <v>3.84</v>
          </cell>
        </row>
        <row r="2617">
          <cell r="A2617">
            <v>72900</v>
          </cell>
          <cell r="B2617" t="str">
            <v>TRANSPORTE DE ENTULHO COM CAMINHAO BASCULANTE 6 M3, RODOVIA PAVIMENTADA, DMT 0,5 A 1,0 KM</v>
          </cell>
          <cell r="C2617" t="str">
            <v>M3</v>
          </cell>
          <cell r="D2617">
            <v>4.2300000000000004</v>
          </cell>
        </row>
        <row r="2618">
          <cell r="A2618" t="str">
            <v>74010/1</v>
          </cell>
          <cell r="B2618" t="str">
            <v>CARGA E DESCARGA MECANICA DE SOLO UTILIZANDO CAMINHAO BASCULANTE 5,0M3/11T E PA CARREGADEIRA SOBRE PNEUS * 105 HP * CAP. 1,72M3.</v>
          </cell>
          <cell r="C2618" t="str">
            <v>M3</v>
          </cell>
          <cell r="D2618">
            <v>1.05</v>
          </cell>
        </row>
        <row r="2619">
          <cell r="A2619" t="str">
            <v>74241/1</v>
          </cell>
          <cell r="B2619" t="str">
            <v>EMPILHAMENTO DE SOLO ORGANICO RETIRADO NA AREA DO ATERRO COM TRATOR SOBRE ESTEIRAS D6</v>
          </cell>
          <cell r="C2619" t="str">
            <v>M3</v>
          </cell>
          <cell r="D2619">
            <v>3.09</v>
          </cell>
        </row>
        <row r="2620">
          <cell r="A2620" t="str">
            <v>74255/1</v>
          </cell>
          <cell r="B2620" t="str">
            <v>CARGA MANUAL DE TERRA EM CAMINHAO BASCULANTE (NAO INCLUI O CUSTO      CUSTO IMPRODUTIVO DO CAMINHAO BASCULANTE)</v>
          </cell>
          <cell r="C2620" t="str">
            <v>M3</v>
          </cell>
          <cell r="D2620">
            <v>5.49</v>
          </cell>
        </row>
        <row r="2621">
          <cell r="A2621" t="str">
            <v>74255/3</v>
          </cell>
          <cell r="B2621" t="str">
            <v>CARGA MANUAL DE MATERIAL A GRANEL (2 SERVENTES) EM CAMINHAO BASCULANTE C/ CACAMBA DE 4,0M3 INCLUINDO DESCARGA MECÂNICA</v>
          </cell>
          <cell r="C2621" t="str">
            <v>M3</v>
          </cell>
          <cell r="D2621">
            <v>21.22</v>
          </cell>
        </row>
        <row r="2622">
          <cell r="A2622">
            <v>79492</v>
          </cell>
          <cell r="B2622" t="str">
            <v>CARGA MANUAL DE ROCHA EM CAMINHAO BASCULANTE</v>
          </cell>
          <cell r="C2622" t="str">
            <v>M3</v>
          </cell>
          <cell r="D2622">
            <v>20.93</v>
          </cell>
        </row>
        <row r="2623">
          <cell r="A2623">
            <v>83356</v>
          </cell>
          <cell r="B2623" t="str">
            <v>TRANSPORTE COMERCIAL DE BRITA</v>
          </cell>
          <cell r="C2623" t="str">
            <v>M3XKM</v>
          </cell>
          <cell r="D2623">
            <v>0.67</v>
          </cell>
        </row>
        <row r="2624">
          <cell r="A2624">
            <v>83357</v>
          </cell>
          <cell r="B2624" t="str">
            <v>TRANSPORTE LOCAL DE MASSA ASFALTICA - PAVIMENTACAO URBANA</v>
          </cell>
          <cell r="C2624" t="str">
            <v>M3XKM</v>
          </cell>
          <cell r="D2624">
            <v>0.86</v>
          </cell>
        </row>
        <row r="2625">
          <cell r="A2625">
            <v>83358</v>
          </cell>
          <cell r="B2625" t="str">
            <v>TRANSPORTE DE PAVIMENTACAO REMOVIDA (RODOVIAS NAO URBANAS)</v>
          </cell>
          <cell r="C2625" t="str">
            <v>M3XKM</v>
          </cell>
          <cell r="D2625">
            <v>1.4</v>
          </cell>
        </row>
        <row r="2626">
          <cell r="A2626">
            <v>83359</v>
          </cell>
          <cell r="B2626" t="str">
            <v>TRANSPORTE LOCAL DE MATERIAL BETUMINOSO (RODOVIAS NAO URBANAS)</v>
          </cell>
          <cell r="C2626" t="str">
            <v>M3XKM</v>
          </cell>
          <cell r="D2626">
            <v>2.87</v>
          </cell>
        </row>
        <row r="2627">
          <cell r="A2627">
            <v>83444</v>
          </cell>
          <cell r="B2627" t="str">
            <v>TRANSPORTE DE MATERIAL DE QUALQUER NATUREZA DMT &gt; 10 KM, COM CAMINHAO BASCULANTE DE 4,0 M3.</v>
          </cell>
          <cell r="C2627" t="str">
            <v>TXKM</v>
          </cell>
          <cell r="D2627">
            <v>0.79</v>
          </cell>
        </row>
        <row r="2628">
          <cell r="A2628">
            <v>6514</v>
          </cell>
          <cell r="B2628" t="str">
            <v>FORNECIMENTO E LANCAMENTO DE BRITA N. 4</v>
          </cell>
          <cell r="C2628" t="str">
            <v>M3</v>
          </cell>
          <cell r="D2628">
            <v>66.63</v>
          </cell>
        </row>
        <row r="2629">
          <cell r="A2629">
            <v>5622</v>
          </cell>
          <cell r="B2629" t="str">
            <v>REGULARIZACAO E COMPACTACAO MANUAL DE TERRENO COM SOQUETE</v>
          </cell>
          <cell r="C2629" t="str">
            <v>M2</v>
          </cell>
          <cell r="D2629">
            <v>3.02</v>
          </cell>
        </row>
        <row r="2630">
          <cell r="A2630">
            <v>41721</v>
          </cell>
          <cell r="B2630" t="str">
            <v>COMPACTACAO MECANICA A 95% DO PROCTOR NORMAL - PAVIMENTACAO URBANA</v>
          </cell>
          <cell r="C2630" t="str">
            <v>M3</v>
          </cell>
          <cell r="D2630">
            <v>2.76</v>
          </cell>
        </row>
        <row r="2631">
          <cell r="A2631">
            <v>41722</v>
          </cell>
          <cell r="B2631" t="str">
            <v>COMPACTACAO MECANICA A 100% DO PROCTOR NORMAL - PAVIMENTACAO URBANA</v>
          </cell>
          <cell r="C2631" t="str">
            <v>M3</v>
          </cell>
          <cell r="D2631">
            <v>4.3600000000000003</v>
          </cell>
        </row>
        <row r="2632">
          <cell r="A2632" t="str">
            <v>74005/1</v>
          </cell>
          <cell r="B2632" t="str">
            <v>COMPACTACAO MECANICA, SEM CONTROLE DO GC (C/COMPACTADOR PLACA 400 KG)</v>
          </cell>
          <cell r="C2632" t="str">
            <v>M3</v>
          </cell>
          <cell r="D2632">
            <v>2.73</v>
          </cell>
        </row>
        <row r="2633">
          <cell r="A2633" t="str">
            <v>74005/2</v>
          </cell>
          <cell r="B2633" t="str">
            <v>COMPACTACAO MECANICA C/ CONTROLE DO GC&gt;=95% DO PN (AREAS) (C/MONIVELADORA 140 HP E ROLO COMPRESSOR VIBRATORIO 80 HP)</v>
          </cell>
          <cell r="C2633" t="str">
            <v>M3</v>
          </cell>
          <cell r="D2633">
            <v>2.84</v>
          </cell>
        </row>
        <row r="2634">
          <cell r="A2634" t="str">
            <v>74034/1</v>
          </cell>
          <cell r="B2634" t="str">
            <v>ESPALHAMENTO DE MATERIAL DE 1A CATEGORIA COM TRATOR DE ESTEIRA COM 153HP</v>
          </cell>
          <cell r="C2634" t="str">
            <v>M3</v>
          </cell>
          <cell r="D2634">
            <v>2.34</v>
          </cell>
        </row>
        <row r="2635">
          <cell r="A2635">
            <v>83344</v>
          </cell>
          <cell r="B2635" t="str">
            <v>ESPALHAMENTO DE MATERIAL EM BOTA FORA, COM UTILIZACAO DE TRATOR DE ESTEIRAS DE 165 HP</v>
          </cell>
          <cell r="C2635" t="str">
            <v>M3</v>
          </cell>
          <cell r="D2635">
            <v>1.01</v>
          </cell>
        </row>
        <row r="2636">
          <cell r="A2636">
            <v>83445</v>
          </cell>
          <cell r="B2636" t="str">
            <v>CAMINHAO TANQUE (PIPA) 6.000 L, DIESEL, 132 CV, COM MOTORISTA.</v>
          </cell>
          <cell r="C2636" t="str">
            <v>CHP</v>
          </cell>
          <cell r="D2636">
            <v>97.94</v>
          </cell>
        </row>
        <row r="2637">
          <cell r="A2637">
            <v>545</v>
          </cell>
          <cell r="B2637" t="str">
            <v>ALVENARIA DE TIJOLO MACICO APARENTE 5,5X11X23CM DE 1 TIJOLO (ESPESSURA 23CM), ASSENT. COM ARGAMASSA 1:1:6 (CIMENTO, CAL E AREIA), ESP. JUNTA 1CM.</v>
          </cell>
          <cell r="C2637" t="str">
            <v>M2</v>
          </cell>
          <cell r="D2637">
            <v>185.59</v>
          </cell>
        </row>
        <row r="2638">
          <cell r="A2638">
            <v>546</v>
          </cell>
          <cell r="B2638" t="str">
            <v>ALVENARIA DE TIJOLO MACICO APARENTE 5,5X11X23CM A CHATO (ESPESSURA 11CM), ASSENT. COM ARGAMASSA 1:1:6 (CIMENTO, CAL E AREIA), ESP. JUNTA 1CM.</v>
          </cell>
          <cell r="C2638" t="str">
            <v>M2</v>
          </cell>
          <cell r="D2638">
            <v>104.34</v>
          </cell>
        </row>
        <row r="2639">
          <cell r="A2639">
            <v>6110</v>
          </cell>
          <cell r="B2639" t="str">
            <v>ALVENARIA DE EMBASAMENTO EM TIJOLOS CERAMICOS MACICOS 5X10X20CM, ASSENTADO  COM ARGAMASSA TRACO 1:2:8 (CIMENTO, CAL E AREIA)</v>
          </cell>
          <cell r="C2639" t="str">
            <v>M3</v>
          </cell>
          <cell r="D2639">
            <v>519.04999999999995</v>
          </cell>
        </row>
        <row r="2640">
          <cell r="A2640">
            <v>6113</v>
          </cell>
          <cell r="B2640" t="str">
            <v>ENCUNHAMENTO (APERTO DE ALVENARIA) EM TIJOLOS CERAMICOS MACICOS 5X10X20CM 1 VEZ (ESPESSURA 20CM), ASSENTADO COM ARGAMASSA TRACO 1:6 (CIMENTO E AREIA)</v>
          </cell>
          <cell r="C2640" t="str">
            <v>M</v>
          </cell>
          <cell r="D2640">
            <v>19.53</v>
          </cell>
        </row>
        <row r="2641">
          <cell r="A2641">
            <v>6449</v>
          </cell>
          <cell r="B2641" t="str">
            <v>MODULO DE 1,98M2 DE ALVENARIA DE TIJOLOS MACIÇOS,E=10 CM,DO  PESCOÇO  DO POÇO DE VISTORIA DA FOSSA D INT = 80 CM, H INT = 70 CM, COM TOTAL DE 1,98M2</v>
          </cell>
          <cell r="C2641" t="str">
            <v>M2</v>
          </cell>
          <cell r="D2641">
            <v>139.69</v>
          </cell>
        </row>
        <row r="2642">
          <cell r="A2642">
            <v>6519</v>
          </cell>
          <cell r="B2642" t="str">
            <v>ALVENARIA EM TIJOLO CERAMICO MACICO 5X10X20CM 1 VEZ (ESPESSURA 20CM), ASSENTADO COM ARGAMASSA TRACO 1:2:8 (CIMENTO, CAL E AREIA)</v>
          </cell>
          <cell r="C2642" t="str">
            <v>M2</v>
          </cell>
          <cell r="D2642">
            <v>109.42</v>
          </cell>
        </row>
        <row r="2643">
          <cell r="A2643">
            <v>68049</v>
          </cell>
          <cell r="B2643" t="str">
            <v>CINTA E CONTRAVERGA EM TIJOLO CERAMICO MACICO 5X10X20CM 1/2 VEZ</v>
          </cell>
          <cell r="C2643" t="str">
            <v>M2</v>
          </cell>
          <cell r="D2643">
            <v>82.89</v>
          </cell>
        </row>
        <row r="2644">
          <cell r="A2644">
            <v>72131</v>
          </cell>
          <cell r="B2644" t="str">
            <v>ALVENARIA EM TIJOLO CERAMICO MACICO 5X10X20CM 1/2 VEZ (ESPESSURA 10CM), ASSENTADO COM ARGAMASSA TRACO 1:2:8 (CIMENTO, CAL E AREIA)</v>
          </cell>
          <cell r="C2644" t="str">
            <v>M2</v>
          </cell>
          <cell r="D2644">
            <v>70.55</v>
          </cell>
        </row>
        <row r="2645">
          <cell r="A2645">
            <v>72132</v>
          </cell>
          <cell r="B2645" t="str">
            <v>ALVENARIA EM TIJOLO CERAMICO MACICO 5X10X20CM ESPELHO (ESPESSURA 5CM), ASSENTADO COM ARGAMASSA TRACO 1:2:8 (CIMENTO, CAL E AREIA)</v>
          </cell>
          <cell r="C2645" t="str">
            <v>M2</v>
          </cell>
          <cell r="D2645">
            <v>37</v>
          </cell>
        </row>
        <row r="2646">
          <cell r="A2646">
            <v>72133</v>
          </cell>
          <cell r="B2646" t="str">
            <v>ALVENARIA EM TIJOLO CERAMICO MACICO 5X10X20CM 1 1/2 VEZ (ESPESSURA 30CM), ASSENTADO COM ARGAMASSA TRACO 1:2:8 (CIMENTO, CAL E AREIA)</v>
          </cell>
          <cell r="C2646" t="str">
            <v>M2</v>
          </cell>
          <cell r="D2646">
            <v>169.42</v>
          </cell>
        </row>
        <row r="2647">
          <cell r="A2647">
            <v>72177</v>
          </cell>
          <cell r="B2647" t="str">
            <v>TELA TIPO DEPLOYEE PARA REFORCO DE ALVENARIA</v>
          </cell>
          <cell r="C2647" t="str">
            <v>M2</v>
          </cell>
          <cell r="D2647">
            <v>2.2000000000000002</v>
          </cell>
        </row>
        <row r="2648">
          <cell r="A2648" t="str">
            <v>73810/1</v>
          </cell>
          <cell r="B2648" t="str">
            <v>ALVENARIA COM TIJOLOS APARENTES 6,5X10X20CM, ASSENTADOS COM ARGAMASSA TRACO 1:6 (CIMENTO E AREIA) PREPARO MANUAL</v>
          </cell>
          <cell r="C2648" t="str">
            <v>M2</v>
          </cell>
          <cell r="D2648">
            <v>94.78</v>
          </cell>
        </row>
        <row r="2649">
          <cell r="A2649" t="str">
            <v>73935/1</v>
          </cell>
          <cell r="B2649" t="str">
            <v>ALVENARIA EM TIJOLO CERAMICO FURADO 10X20X20CM, 1/2 VEZ, ASSENTADO EM ARGAMASSA TRACO 1:4 (CIMENTO E AREIA),E=1CM</v>
          </cell>
          <cell r="C2649" t="str">
            <v>M2</v>
          </cell>
          <cell r="D2649">
            <v>40.53</v>
          </cell>
        </row>
        <row r="2650">
          <cell r="A2650" t="str">
            <v>73935/2</v>
          </cell>
          <cell r="B2650" t="str">
            <v>ALVENARIA EM TIJOLO CERAMICO FURADO 9X19X19CM, 1 VEZ (ESPESSURA 19 CM), ASSENTADO EM ARGAMASSA TRACO 1:4 (CIMENTO E AREIA MEDIA NAO PENEIRADA), PREPARO MANUAL, JUNTA 1 CM</v>
          </cell>
          <cell r="C2650" t="str">
            <v>M2</v>
          </cell>
          <cell r="D2650">
            <v>63.51</v>
          </cell>
        </row>
        <row r="2651">
          <cell r="A2651" t="str">
            <v>73935/3</v>
          </cell>
          <cell r="B2651" t="str">
            <v>ALVENARIA EM TIJOLO CERAMICO FURADO 9X9X19CM,1/2 VEZ (ESPESSURA 9 CM), ASSENTADO EM ARGAMASSA TRACO 1:4 (CIMENTO E AREIA MEDIA NAO PENEIRADA), PREPARO MANUAL, JUNTA 1CM</v>
          </cell>
          <cell r="C2651" t="str">
            <v>M2</v>
          </cell>
          <cell r="D2651">
            <v>56.71</v>
          </cell>
        </row>
        <row r="2652">
          <cell r="A2652" t="str">
            <v>73935/5</v>
          </cell>
          <cell r="B2652" t="str">
            <v>ALVENARIA EM TIJOLO CERAMICO FURADO 9X14X19CM, 1/2 VEZ (ESPESSURA 9 CM), ASSENTADO EM ARGAMASSA TRACO 1:4 (CIMENTO E AREIA MEDIA NAO PENEIRADA), PREPARO MANUAL, JUNTA 1 CM</v>
          </cell>
          <cell r="C2652" t="str">
            <v>M2</v>
          </cell>
          <cell r="D2652">
            <v>48.2</v>
          </cell>
        </row>
        <row r="2653">
          <cell r="A2653" t="str">
            <v>73982/1</v>
          </cell>
          <cell r="B2653" t="str">
            <v>ALVENARIA EM TIJOLO CERAMICO FURADO 10X20X20CM, 1/2 VEZ, ASSENTADO EM ARGAMASSA TRACO 1:2:8 (CIMENTO, CAL E AREIA), JUNTAS 12MM</v>
          </cell>
          <cell r="C2653" t="str">
            <v>M2</v>
          </cell>
          <cell r="D2653">
            <v>36.42</v>
          </cell>
        </row>
        <row r="2654">
          <cell r="A2654" t="str">
            <v>73987/1</v>
          </cell>
          <cell r="B2654" t="str">
            <v>ALVENARIA EM TIJOLO CERAMICO FURADO 10X20X20CM, 1 VEZ, ASSENTADO EM ARGAMASSA TRACO 1:2:8 (CIMENTO, CAL E AREIA), JUNTAS 10MM</v>
          </cell>
          <cell r="C2654" t="str">
            <v>M2</v>
          </cell>
          <cell r="D2654">
            <v>72.09</v>
          </cell>
        </row>
        <row r="2655">
          <cell r="A2655" t="str">
            <v>73988/1</v>
          </cell>
          <cell r="B2655" t="str">
            <v>ENCUNHAMENTO (APERTO DE ALVENARIA) EM TIJOLOS CERAMICOS MACICO 5,7X9X19CM 1 VEZ (ESPESSURA 19CM) COM ARGAMASSA TRACO 1:2:8 (CIMENTO, CAL E AREIA)</v>
          </cell>
          <cell r="C2655" t="str">
            <v>M</v>
          </cell>
          <cell r="D2655">
            <v>11.1</v>
          </cell>
        </row>
        <row r="2656">
          <cell r="A2656" t="str">
            <v>73988/2</v>
          </cell>
          <cell r="B2656" t="str">
            <v>ENCUNHAMENTO (APERTO DE ALVENARIA) EM TIJOLOS CERAMICOS MACICO 5,7X9X19CM 1/2 VEZ (ESPESSURA 9CM) COM ARGAMASSA TRACO 1:2:8 (CIMENTO, CAL E AREIA)</v>
          </cell>
          <cell r="C2656" t="str">
            <v>M</v>
          </cell>
          <cell r="D2656">
            <v>6.33</v>
          </cell>
        </row>
        <row r="2657">
          <cell r="A2657" t="str">
            <v>73988/3</v>
          </cell>
          <cell r="B2657" t="str">
            <v>ENCUNHAMENTO (APERTO DE ALVENARIA) EM TIJOLOS CERAMICOS MACICO 5,7X9X19CM 1 VEZ (ESPESSURA 19CM) COM ARGAMASSA TRACO 1:4(CIMENTO E AREIA)</v>
          </cell>
          <cell r="C2657" t="str">
            <v>M</v>
          </cell>
          <cell r="D2657">
            <v>11.09</v>
          </cell>
        </row>
        <row r="2658">
          <cell r="A2658" t="str">
            <v>73988/4</v>
          </cell>
          <cell r="B2658" t="str">
            <v>ENCUNHAMENTO (APERTO DE ALVENARIA) EM TIJOLOS CERAMICOS MACICO 5,7X9X19CM 1/2  VEZ (ESPESSURA 9CM) COM ARGAMASSA TRACO 1:4(CIMENTO  E AREIA)</v>
          </cell>
          <cell r="C2658" t="str">
            <v>M</v>
          </cell>
          <cell r="D2658">
            <v>6.33</v>
          </cell>
        </row>
        <row r="2659">
          <cell r="A2659" t="str">
            <v>74110/1</v>
          </cell>
          <cell r="B2659" t="str">
            <v>ALVENARIA EM BLOCO CERAMICO ESTRUTURAL 14X19X29CM, 1/2 VEZ, ASSENTADO COM ARGAMASSA TRACO 1:3 (CIMENTO E AREIA), INCLUSO ACO CA-60</v>
          </cell>
          <cell r="C2659" t="str">
            <v>M2</v>
          </cell>
          <cell r="D2659">
            <v>63.9</v>
          </cell>
        </row>
        <row r="2660">
          <cell r="A2660" t="str">
            <v>76445/1</v>
          </cell>
          <cell r="B2660" t="str">
            <v>ALVENARIA DE TIJOLOS CERAMICOS FURADOS 10X20X20CM, ASSENTADOS COM ARGAMASSA CIMENTO/AREIA 1:10 COM PREPARO MANUAL, ESP. PAREDE = 10CM, COM JUNTAS DE 12MM, CONSIDERANDO 8% DE PERDAS NOS TIJOLOS, SEM PERDAS DE ARGAMASSA</v>
          </cell>
          <cell r="C2660" t="str">
            <v>M2</v>
          </cell>
          <cell r="D2660">
            <v>39.85</v>
          </cell>
        </row>
        <row r="2661">
          <cell r="A2661" t="str">
            <v>76445/2</v>
          </cell>
          <cell r="B2661" t="str">
            <v>ALVENARIA DE TIJOLOS CERAMICOS FURADOS, 10X20X30CM, ASSENTADOS COM ARGAMASSA CIMENTO/AREIA 1:7 COM PREPARO MANUAL, ESP. PAREDE = 10CM, COM JUNTAS DE 15MM, CONSIDERANDO 8% DE PERDAS NOS TIJOLOS E 5% NA ARGAMASSA DE ASSENTAMENTO</v>
          </cell>
          <cell r="C2661" t="str">
            <v>M2</v>
          </cell>
          <cell r="D2661">
            <v>30.44</v>
          </cell>
        </row>
        <row r="2662">
          <cell r="A2662" t="str">
            <v>76445/3</v>
          </cell>
          <cell r="B2662" t="str">
            <v>ALVENARIA DE TIJOLOS CERAMICOS FURADOS 10X10X20CM, ASSENTADOS COM ARGAMASSA CIMENTO/AREIA 1:10 COM PREPARO MANUAL, ESP. PAREDE = 10CM, COM JUNTAS DE 12MM, CONSIDERANDO 9% DE PERDAS NOS TIJOLOS E 10% NA ARGAMASSA DE ASSENTAMENTO</v>
          </cell>
          <cell r="C2662" t="str">
            <v>M2</v>
          </cell>
          <cell r="D2662">
            <v>63.16</v>
          </cell>
        </row>
        <row r="2663">
          <cell r="A2663" t="str">
            <v>79335/1</v>
          </cell>
          <cell r="B2663" t="str">
            <v>ALVENARIA EM BLOCO CERAMICO ESTRUTURAL 14X19X29CM, E=14XM, ASSENTADO COM ARGAMASSA TRACO 1:2:8 (CIMENTO, CAL E AREIA). NAO INCLUI GROUNT E ACO.</v>
          </cell>
          <cell r="C2663" t="str">
            <v>M2</v>
          </cell>
          <cell r="D2663">
            <v>55.6</v>
          </cell>
        </row>
        <row r="2664">
          <cell r="A2664">
            <v>9875</v>
          </cell>
          <cell r="B2664" t="str">
            <v>COBOGO CERAMICO (ELEMENTO VAZADO), 9X20X20CM, ASSENTADO COM ARGAMASSA TRACO 1:4 DE CIMENTO E AREIA</v>
          </cell>
          <cell r="C2664" t="str">
            <v>M2</v>
          </cell>
          <cell r="D2664">
            <v>94.46</v>
          </cell>
        </row>
        <row r="2665">
          <cell r="A2665">
            <v>40804</v>
          </cell>
          <cell r="B2665" t="str">
            <v>MARCACAO DE ALVENARIA DE BLOCOS DE CONCRETO PARA BLOCO 10X20X40, COM ARGAMASSA TRACO 1:2:8 (CIMENTO, CAL E AREIA)</v>
          </cell>
          <cell r="C2665" t="str">
            <v>M</v>
          </cell>
          <cell r="D2665">
            <v>9.51</v>
          </cell>
        </row>
        <row r="2666">
          <cell r="A2666" t="str">
            <v>73998/1</v>
          </cell>
          <cell r="B2666" t="str">
            <v>ALVENARIA DE BLOCOS DE CONCRETO VEDACAO 9X19X39CM, ESPESSURA 9CM, ASSENTADOS COM ARGAMASSA TRACO 1:0,5:11 (CIMENTO, CAL E AREIA)</v>
          </cell>
          <cell r="C2666" t="str">
            <v>M2</v>
          </cell>
          <cell r="D2666">
            <v>34.229999999999997</v>
          </cell>
        </row>
        <row r="2667">
          <cell r="A2667" t="str">
            <v>73998/2</v>
          </cell>
          <cell r="B2667" t="str">
            <v>ALVENARIA DE BLOCOS DE CONCRETO VEDACAO TIPO CANALETA 14X19X19CM, ASSENTADOS COM ARGAMASSA TRACO 1:0,5:11 (CIMENTO, CAL E AREIA)</v>
          </cell>
          <cell r="C2667" t="str">
            <v>M2</v>
          </cell>
          <cell r="D2667">
            <v>49.38</v>
          </cell>
        </row>
        <row r="2668">
          <cell r="A2668" t="str">
            <v>73998/3</v>
          </cell>
          <cell r="B2668" t="str">
            <v>ALV ESTRUTURAL BL CONC 14X19X39CM -4.5MPA, ARG.CIM/CAL/AREIA 1:5:11</v>
          </cell>
          <cell r="C2668" t="str">
            <v>M2</v>
          </cell>
          <cell r="D2668">
            <v>48.1</v>
          </cell>
        </row>
        <row r="2669">
          <cell r="A2669" t="str">
            <v>73998/4</v>
          </cell>
          <cell r="B2669" t="str">
            <v>ALVENARIA DE BLOCOS DE CONCRETO ESTRUTURAL 14X19X39CM, ESPESSURA 14CM, ASSENTADOS COM ARGAMASSA TRACO 1:0,25:4 (CIMENTO, CAL E AREIA)</v>
          </cell>
          <cell r="C2669" t="str">
            <v>M2</v>
          </cell>
          <cell r="D2669">
            <v>53.45</v>
          </cell>
        </row>
        <row r="2670">
          <cell r="A2670" t="str">
            <v>73998/5</v>
          </cell>
          <cell r="B2670" t="str">
            <v>ALVENARIA DE BLOCOS DE CONCRETO ESTRUTURAL TIPO CANALETA 9X19X19CM, ASSENTADOS COM ARGAMASSA TRACO 1:0,25:4 (CIMENTO, CAL E AREIA)</v>
          </cell>
          <cell r="C2670" t="str">
            <v>M2</v>
          </cell>
          <cell r="D2670">
            <v>37.5</v>
          </cell>
        </row>
        <row r="2671">
          <cell r="A2671" t="str">
            <v>73998/6</v>
          </cell>
          <cell r="B2671" t="str">
            <v>ALVENARIA DE BLOCOS DE CONCRETO ESTRUTURAL 19X19X39CM, ESPESSURA 19CM, ASSENTADOS COM ARGAMASSA TRACO 1:0,25:4 (CIMENTO, CAL E AREIA)</v>
          </cell>
          <cell r="C2671" t="str">
            <v>M2</v>
          </cell>
          <cell r="D2671">
            <v>63.55</v>
          </cell>
        </row>
        <row r="2672">
          <cell r="A2672" t="str">
            <v>73998/7</v>
          </cell>
          <cell r="B2672" t="str">
            <v>ALVENARIA DE BLOCOS DE CONCRETO VEDACAO 19X19X39CM, ESPESSURA 19CM, ASSENTADOS COM ARGAMASSA TRACO 1:0,5:8 (CIMENTO, CAL E AREIA), COM JUNTA DE 10MM</v>
          </cell>
          <cell r="C2672" t="str">
            <v>M2</v>
          </cell>
          <cell r="D2672">
            <v>46.26</v>
          </cell>
        </row>
        <row r="2673">
          <cell r="A2673" t="str">
            <v>73998/8</v>
          </cell>
          <cell r="B2673" t="str">
            <v>ALVENARIA DE BLOCOS DE CONCRETO VEDACAO 9X19X39CM, ESPESSURA 9CM, ASSENTADOS COM PASTA DE ARGAMASSA COLANTE, COM JUNTA DE 10MM</v>
          </cell>
          <cell r="C2673" t="str">
            <v>M2</v>
          </cell>
          <cell r="D2673">
            <v>26.49</v>
          </cell>
        </row>
        <row r="2674">
          <cell r="A2674" t="str">
            <v>73998/9</v>
          </cell>
          <cell r="B2674" t="str">
            <v>ALVENARIA DE BLOCOS DE CONCRETO VEDACAO 14X19X39CM, ESPESSURA 14CM, ASSENTADOS COM ARGAMASSA TRACO 1:0,5:8 (CIMENTO, CAL E AREIA), COM JUNTA DE 10MM</v>
          </cell>
          <cell r="C2674" t="str">
            <v>M2</v>
          </cell>
          <cell r="D2674">
            <v>40.090000000000003</v>
          </cell>
        </row>
        <row r="2675">
          <cell r="A2675" t="str">
            <v>73998/10</v>
          </cell>
          <cell r="B2675" t="str">
            <v>ALVENARIA DE BLOCOS DE CONCRETO VEDACAO 9X19X39CM, ESPESSURA 9CM, ASSENTADOS COM ARGAMASSA TRACO 1:0,5:8 (CIMENTO, CAL E AREIA), C/ JUNTA DE 10MM</v>
          </cell>
          <cell r="C2675" t="str">
            <v>M2</v>
          </cell>
          <cell r="D2675">
            <v>32.78</v>
          </cell>
        </row>
        <row r="2676">
          <cell r="A2676" t="str">
            <v>73937/1</v>
          </cell>
          <cell r="B2676" t="str">
            <v>COBOGO DE CONCRETO (ELEMENTO VAZADO), 7X50X50CM, ASSENTADO COM ARGAMASSA TRACO 1:4 (CIMENTO E AREIA)</v>
          </cell>
          <cell r="C2676" t="str">
            <v>M2</v>
          </cell>
          <cell r="D2676">
            <v>83.42</v>
          </cell>
        </row>
        <row r="2677">
          <cell r="A2677" t="str">
            <v>73937/2</v>
          </cell>
          <cell r="B2677" t="str">
            <v>ALVENARIA ELEM VAZADO CONCRETO VENEZIANA 15X22X39CM 72A-NEO REX CIMENTO/AREIA 1:4</v>
          </cell>
          <cell r="C2677" t="str">
            <v>M2</v>
          </cell>
          <cell r="D2677">
            <v>87.33</v>
          </cell>
        </row>
        <row r="2678">
          <cell r="A2678" t="str">
            <v>73937/3</v>
          </cell>
          <cell r="B2678" t="str">
            <v>COBOGO DE CONCRETO (ELEMENTO VAZADO), 7X50X50CM, ASSENTADO COM ARGAMASSA TRACO 1:3 (CIMENTO E AREIA)</v>
          </cell>
          <cell r="C2678" t="str">
            <v>M2</v>
          </cell>
          <cell r="D2678">
            <v>83.63</v>
          </cell>
        </row>
        <row r="2679">
          <cell r="A2679" t="str">
            <v>73937/4</v>
          </cell>
          <cell r="B2679" t="str">
            <v>COBOGO DE CONCRETO (ELEMENTO VAZADO), 6X29X29CM, ASSENTADO COM ARGAMASSA TRACO 1:7 (CIMENTO E AREIA)</v>
          </cell>
          <cell r="C2679" t="str">
            <v>M2</v>
          </cell>
          <cell r="D2679">
            <v>125.04</v>
          </cell>
        </row>
        <row r="2680">
          <cell r="A2680" t="str">
            <v>73937/5</v>
          </cell>
          <cell r="B2680" t="str">
            <v>COBOGO DE CONCRETO (ELEMENTO VAZADO), 10X29X39CM ABERTURA COM VIDRO, ASSENTADO COM ARGAMASSA TRACO 1:4 (CIMENTO E AREIA MEDIA NAO PENEIRADA)</v>
          </cell>
          <cell r="C2680" t="str">
            <v>M2</v>
          </cell>
          <cell r="D2680">
            <v>100.78</v>
          </cell>
        </row>
        <row r="2681">
          <cell r="A2681" t="str">
            <v>74196/1</v>
          </cell>
          <cell r="B2681" t="str">
            <v>COBOGO DE CONCRETO (ELEMENTO VAZADO), 5X50X50CM, ASSENTADO COM ARGAMASSA DE CIMENTO E AREIA COM ACO CA-25</v>
          </cell>
          <cell r="C2681" t="str">
            <v>M2</v>
          </cell>
          <cell r="D2681">
            <v>98.03</v>
          </cell>
        </row>
        <row r="2682">
          <cell r="A2682" t="str">
            <v>76446/1</v>
          </cell>
          <cell r="B2682" t="str">
            <v>ALVENARIA DE ELEMENTO VAZADO DE CONCRETO, 7X50X50CM, ASSENTADOS COM ARGAMASSA 1:7 CIMENTO:AREIA, PREPARO MANUAL</v>
          </cell>
          <cell r="C2682" t="str">
            <v>M2</v>
          </cell>
          <cell r="D2682">
            <v>82.89</v>
          </cell>
        </row>
        <row r="2683">
          <cell r="A2683">
            <v>40718</v>
          </cell>
          <cell r="B2683" t="str">
            <v>ALVENARIA DE BLOCO DE VIDRO 10X20X20CM ASSENTADOS COM ARGAMASSA CIM/  CAL/AREIA 1:2:8 + CIMENTO BRANCO</v>
          </cell>
          <cell r="C2683" t="str">
            <v>M2</v>
          </cell>
          <cell r="D2683">
            <v>319.19</v>
          </cell>
        </row>
        <row r="2684">
          <cell r="A2684">
            <v>72139</v>
          </cell>
          <cell r="B2684" t="str">
            <v>BLOCOS DE VIDRO TIPO CANELADO 19X19X8CM, ASSENTADO COM ARGAMASSA TRACO 1:3 (CIMENTO E AREIA GROSSA) PREPARO MECANICO, COM REJUNTAMENTO EM CIMENTO BRANCO E BARRAS DE ACO</v>
          </cell>
          <cell r="C2684" t="str">
            <v>M2</v>
          </cell>
          <cell r="D2684">
            <v>316.8</v>
          </cell>
        </row>
        <row r="2685">
          <cell r="A2685">
            <v>72175</v>
          </cell>
          <cell r="B2685" t="str">
            <v>BLOCOS DE VIDRO TIPO XADREZ 20X20X10CM, ASSENTADO COM ARGAMASSA TRACO 1:3 (CIMENTO E AREIA GROSSA) PREPARO MECANICO, COM REJUNTAMENTO EM CIMENTO BRANCO E BARRAS DE ACO</v>
          </cell>
          <cell r="C2685" t="str">
            <v>M2</v>
          </cell>
          <cell r="D2685">
            <v>335.79</v>
          </cell>
        </row>
        <row r="2686">
          <cell r="A2686">
            <v>72176</v>
          </cell>
          <cell r="B2686" t="str">
            <v>BLOCOS DE VIDRO TIPO XADREZ 20X10X8CM, ASSENTADO COM ARGAMASSA TRACO 1:3 (CIMENTO E AREIA GROSSA) PREPARO MECANICO, COM REJUNTAMENTO EM CIMENTO BRANCO E BARRAS DE ACO</v>
          </cell>
          <cell r="C2686" t="str">
            <v>M2</v>
          </cell>
          <cell r="D2686">
            <v>224.51</v>
          </cell>
        </row>
        <row r="2687">
          <cell r="A2687" t="str">
            <v>74053/1</v>
          </cell>
          <cell r="B2687" t="str">
            <v>ALVENARIA EM PEDRA RACHAO OU PEDRA DE MAO, ASSENTADA COM ARGAMASSA TRACO 1:6 (CIMENTO E AREIA)</v>
          </cell>
          <cell r="C2687" t="str">
            <v>M3</v>
          </cell>
          <cell r="D2687">
            <v>269.58</v>
          </cell>
        </row>
        <row r="2688">
          <cell r="A2688" t="str">
            <v>74053/2</v>
          </cell>
          <cell r="B2688" t="str">
            <v>ALVENARIA EM PEDRA RACHAO OU PEDRA DE MAO, ASSENTADA COM ARGAMASSA TRACO 1:8 (CIMENTO E AREIA)</v>
          </cell>
          <cell r="C2688" t="str">
            <v>M3</v>
          </cell>
          <cell r="D2688">
            <v>260.77999999999997</v>
          </cell>
        </row>
        <row r="2689">
          <cell r="A2689" t="str">
            <v>74053/3</v>
          </cell>
          <cell r="B2689" t="str">
            <v>ALVENARIA EM PEDRA RACHAO OU PEDRA DE MAO, ASSENTADA COM ARGAMASSA TRACO 1:10 (CIMENTO E AREIA)</v>
          </cell>
          <cell r="C2689" t="str">
            <v>M3</v>
          </cell>
          <cell r="D2689">
            <v>257.07</v>
          </cell>
        </row>
        <row r="2690">
          <cell r="A2690">
            <v>72178</v>
          </cell>
          <cell r="B2690" t="str">
            <v>RETIRADA DE DIVISORIAS EM CHAPAS DE MADEIRA, COM MONTANTES METALICOS</v>
          </cell>
          <cell r="C2690" t="str">
            <v>M2</v>
          </cell>
          <cell r="D2690">
            <v>13.18</v>
          </cell>
        </row>
        <row r="2691">
          <cell r="A2691">
            <v>72179</v>
          </cell>
          <cell r="B2691" t="str">
            <v>RECOLOCACAO DE PLACAS DIVISORIAS DE GRANILITE, CONSIDERANDO REAPROVEITAMENTO DO MATERIAL</v>
          </cell>
          <cell r="C2691" t="str">
            <v>M2</v>
          </cell>
          <cell r="D2691">
            <v>27.86</v>
          </cell>
        </row>
        <row r="2692">
          <cell r="A2692">
            <v>72180</v>
          </cell>
          <cell r="B2692" t="str">
            <v>RECOLOCACAO DE DIVISORIAS TIPO CHAPAS OU TABUAS, EXCLUSIVE ENTARUGAMENTO, CONSIDERANDO REAPROVEITAMENTO DO MATERIAL</v>
          </cell>
          <cell r="C2692" t="str">
            <v>M2</v>
          </cell>
          <cell r="D2692">
            <v>8.5</v>
          </cell>
        </row>
        <row r="2693">
          <cell r="A2693">
            <v>72181</v>
          </cell>
          <cell r="B2693" t="str">
            <v>RECOLOCACAO DE DIVISORIAS TIPO CHAPAS OU TABUAS, INCLUSIVE ENTARUGAMENTO, CONSIDERANDO REAPROVEITAMENTO DO MATERIAL</v>
          </cell>
          <cell r="C2693" t="str">
            <v>M2</v>
          </cell>
          <cell r="D2693">
            <v>17.23</v>
          </cell>
        </row>
        <row r="2694">
          <cell r="A2694" t="str">
            <v>73774/1</v>
          </cell>
          <cell r="B2694" t="str">
            <v>DIVISORIA EM MARMORITE ESPESSURA 35MM, CHUMBAMENTO NO PISO E PAREDE COM ARGAMASSA DE CIMENTO E AREIA, POLIMENTO MANUAL, EXCLUSIVE FERRAGENS</v>
          </cell>
          <cell r="C2694" t="str">
            <v>M2</v>
          </cell>
          <cell r="D2694">
            <v>186.18</v>
          </cell>
        </row>
        <row r="2695">
          <cell r="A2695" t="str">
            <v>73909/1</v>
          </cell>
          <cell r="B2695" t="str">
            <v>DIVISORIA EM MADEIRA COMPENSADA RESINADA ESPESSURA 6MM, ESTRUTURADA EM MADEIRA DE LEI 3"X3"</v>
          </cell>
          <cell r="C2695" t="str">
            <v>M2</v>
          </cell>
          <cell r="D2695">
            <v>141.91999999999999</v>
          </cell>
        </row>
        <row r="2696">
          <cell r="A2696" t="str">
            <v>74229/1</v>
          </cell>
          <cell r="B2696" t="str">
            <v>DIVISORIA EM MARMORE BRANCO POLIDO, ESPESSURA 3 CM, ASSENTADO COM ARGAMASSA TRACO 1:4 (CIMENTO E AREIA), ARREMATE COM CIMENTO BRANCO, EXCLUSIVE FERRAGENS</v>
          </cell>
          <cell r="C2696" t="str">
            <v>M2</v>
          </cell>
          <cell r="D2696">
            <v>705.44</v>
          </cell>
        </row>
        <row r="2697">
          <cell r="A2697">
            <v>79627</v>
          </cell>
          <cell r="B2697" t="str">
            <v>DIVISORIA EM GRANITO BRANCO POLIDO, ESP = 3CM, ASSENTADO COM ARGAMASSA TRACO 1:4, ARREMATE EM CIMENTO BRANCO, EXCLUSIVE FERRAGENS</v>
          </cell>
          <cell r="C2697" t="str">
            <v>M2</v>
          </cell>
          <cell r="D2697">
            <v>622.66</v>
          </cell>
        </row>
        <row r="2698">
          <cell r="A2698" t="str">
            <v>73863/1</v>
          </cell>
          <cell r="B2698" t="str">
            <v>ALVENARIA COM BLOCOS DE CONCRETO CELULAR 10X30X60CM, ESPESSURA 10CM, ASSENTADOS COM ARGAMASSA TRACO 1:2:9 (CIMENTO, CAL E AREIA) PREPARO MANUAL</v>
          </cell>
          <cell r="C2698" t="str">
            <v>M2</v>
          </cell>
          <cell r="D2698">
            <v>47.41</v>
          </cell>
        </row>
        <row r="2699">
          <cell r="A2699" t="str">
            <v>73863/2</v>
          </cell>
          <cell r="B2699" t="str">
            <v>ALVENARIA COM BLOCOS DE CONCRETO CELULAR 20X30X60CM, ESPESSURA 20CM, ASSENTADOS COM ARGAMASSA TRACO 1:2:9 (CIMENTO, CAL E AREIA) PREPARO MANUAL</v>
          </cell>
          <cell r="C2699" t="str">
            <v>M2</v>
          </cell>
          <cell r="D2699">
            <v>94.42</v>
          </cell>
        </row>
        <row r="2700">
          <cell r="A2700">
            <v>68079</v>
          </cell>
          <cell r="B2700" t="str">
            <v>PAREDE DE ADOBE PARA FORNOS</v>
          </cell>
          <cell r="C2700" t="str">
            <v>M3</v>
          </cell>
          <cell r="D2700">
            <v>457.96</v>
          </cell>
        </row>
        <row r="2701">
          <cell r="A2701">
            <v>72948</v>
          </cell>
          <cell r="B2701" t="str">
            <v>COLCHAO DE AREIA PARA PAVIMENTACAO EM PARALELEPIPEDO OU BLOCOS DE CONCRETO INTERTRAVADOS</v>
          </cell>
          <cell r="C2701" t="str">
            <v>M3</v>
          </cell>
          <cell r="D2701">
            <v>67.489999999999995</v>
          </cell>
        </row>
        <row r="2702">
          <cell r="A2702">
            <v>72949</v>
          </cell>
          <cell r="B2702" t="str">
            <v>DEMOLICAO DE PAVIMENTACAO ASFALTICA, EXCLUSIVE TRANSPORTE DO MATERIAL RETIRADO</v>
          </cell>
          <cell r="C2702" t="str">
            <v>M3</v>
          </cell>
          <cell r="D2702">
            <v>19.95</v>
          </cell>
        </row>
        <row r="2703">
          <cell r="A2703" t="str">
            <v>73790/1</v>
          </cell>
          <cell r="B2703" t="str">
            <v>RETIRADA, LIMPEZA E REASSENTAMENTO DE PARALELEPIPEDO SOBRE COLCHAO DE PO DE PEDRA ESPESSURA 10CM, REJUNTADO COM BETUME E PEDRISCO, CONSIDERANDO APROVEITAMENTO DO PARALELEPIPEDO</v>
          </cell>
          <cell r="C2703" t="str">
            <v>M2</v>
          </cell>
          <cell r="D2703">
            <v>40.119999999999997</v>
          </cell>
        </row>
        <row r="2704">
          <cell r="A2704" t="str">
            <v>73790/2</v>
          </cell>
          <cell r="B2704" t="str">
            <v>REASSENTAMENTO DE PARALELEPIPEDO SOBRE COLCHAO DE PO DE PEDRA ESPESSURA 10CM, REJUNTADO COM BETUME E PEDRISCO, CONSIDERANDO APROVEITAMENTO DO PARALELEPIPEDO</v>
          </cell>
          <cell r="C2704" t="str">
            <v>M2</v>
          </cell>
          <cell r="D2704">
            <v>28.21</v>
          </cell>
        </row>
        <row r="2705">
          <cell r="A2705" t="str">
            <v>73790/3</v>
          </cell>
          <cell r="B2705" t="str">
            <v>RETIRADA, LIMPEZA E REASSENTAMENTO DE PARALELEPIPEDO SOBRE COLCHAO DE PO DE PEDRA ESPESSURA 10CM, REJUNTADO COM ARGAMASSA TRACO 1:3 (CIMENTO E AREIA), CONSIDERANDO APROVEITAMENTO DO PARALELEPIPEDO</v>
          </cell>
          <cell r="C2705" t="str">
            <v>M2</v>
          </cell>
          <cell r="D2705">
            <v>39.07</v>
          </cell>
        </row>
        <row r="2706">
          <cell r="A2706" t="str">
            <v>73790/4</v>
          </cell>
          <cell r="B2706" t="str">
            <v>REASSENTAMENTO DE PARALELEPIPEDO SOBRE COLCHAO DE PO DE PEDRA ESPESSURA 10CM, REJUNTADO COM ARGAMASSA TRACO 1:3 (CIMENTO E AREIA), CONSIDERANDO APROVEITAMENTO DO PARALELEPIPEDO</v>
          </cell>
          <cell r="C2706" t="str">
            <v>M2</v>
          </cell>
          <cell r="D2706">
            <v>27.15</v>
          </cell>
        </row>
        <row r="2707">
          <cell r="A2707">
            <v>83694</v>
          </cell>
          <cell r="B2707" t="str">
            <v>RECOMPOSICAO DE PAVIMENTACAO TIPO BLOKRET SOBRE COLCHAO DE AREIA COM REAPROVEITAMENTO DE MATERIAL</v>
          </cell>
          <cell r="C2707" t="str">
            <v>M2</v>
          </cell>
          <cell r="D2707">
            <v>10.44</v>
          </cell>
        </row>
        <row r="2708">
          <cell r="A2708" t="str">
            <v>83695/1</v>
          </cell>
          <cell r="B2708" t="str">
            <v>REJUNTAMENTO PAVIMENTACAO PARALELEPIPEDO BETUME CASCALH INCL MATERIAIS</v>
          </cell>
          <cell r="C2708" t="str">
            <v>M2</v>
          </cell>
          <cell r="D2708">
            <v>12.34</v>
          </cell>
        </row>
        <row r="2709">
          <cell r="A2709">
            <v>83771</v>
          </cell>
          <cell r="B2709" t="str">
            <v>RECOMPOSICAO DE REVESTIMENTO PRIMARIO MEDIDO P/ VOLUME COMPACTADO</v>
          </cell>
          <cell r="C2709" t="str">
            <v>M3</v>
          </cell>
          <cell r="D2709">
            <v>6.55</v>
          </cell>
        </row>
        <row r="2710">
          <cell r="A2710">
            <v>41879</v>
          </cell>
          <cell r="B2710" t="str">
            <v>CONFORMACAO GEOMETRICA DE PLATAFORMA PARA EXECUCAO DE REVESTIMENTO PRIMARIO EM RODOVIAS VICINAIS</v>
          </cell>
          <cell r="C2710" t="str">
            <v>M2</v>
          </cell>
          <cell r="D2710">
            <v>0.13</v>
          </cell>
        </row>
        <row r="2711">
          <cell r="A2711">
            <v>72910</v>
          </cell>
          <cell r="B2711" t="str">
            <v>BASE DE SOLO ARENOSO FINO, COMPACTACAO 100% PROCTOR MODIFICADO</v>
          </cell>
          <cell r="C2711" t="str">
            <v>M3</v>
          </cell>
          <cell r="D2711">
            <v>13.34</v>
          </cell>
        </row>
        <row r="2712">
          <cell r="A2712">
            <v>72911</v>
          </cell>
          <cell r="B2712" t="str">
            <v>BASE DE SOLO ESTABILIZADO SEM MISTURA, COMPACTACAO 100% PROCTOR NORMAL, EXCLUSIVE ESCAVACAO, CARGA E TRANSPORTE DO SOLO</v>
          </cell>
          <cell r="C2712" t="str">
            <v>M3</v>
          </cell>
          <cell r="D2712">
            <v>9.6300000000000008</v>
          </cell>
        </row>
        <row r="2713">
          <cell r="A2713">
            <v>72912</v>
          </cell>
          <cell r="B2713" t="str">
            <v>BASE DE SOLO CIMENTO 2% MISTURA EM PISTA, COMPACTACAO 100% PROCTOR INTERMEDIARIO, EXCLUSIVE ESCAVACAO, CARGA E TRANSPORTE DO SOLO</v>
          </cell>
          <cell r="C2713" t="str">
            <v>M3</v>
          </cell>
          <cell r="D2713">
            <v>27.65</v>
          </cell>
        </row>
        <row r="2714">
          <cell r="A2714">
            <v>72913</v>
          </cell>
          <cell r="B2714" t="str">
            <v>BASE DE SOLO CIMENTO 4% MISTURA EM PISTA, COMPACTACAO 100% PROCTOR NORMAL, EXCLUSIVE TRANSPORTE DO SOLO</v>
          </cell>
          <cell r="C2714" t="str">
            <v>M3</v>
          </cell>
          <cell r="D2714">
            <v>40.83</v>
          </cell>
        </row>
        <row r="2715">
          <cell r="A2715">
            <v>72914</v>
          </cell>
          <cell r="B2715" t="str">
            <v>BASE DE SOLO CIMENTO 6% MISTURA EM PISTA, COMPACTACAO 100% PROCTOR NORMAL, EXCLUSIVE ESCAVACAO, CARGA E TRANSPORTE DO SOLO</v>
          </cell>
          <cell r="C2715" t="str">
            <v>M3</v>
          </cell>
          <cell r="D2715">
            <v>57.1</v>
          </cell>
        </row>
        <row r="2716">
          <cell r="A2716">
            <v>72916</v>
          </cell>
          <cell r="B2716" t="str">
            <v>BASE DE SOLO CIMENTO 2% MISTURA EM USINA, COMPACTACAO 100% PROCTOR INTERMEDIARIO, EXCLUSIVE ESCAVACAO, CARGA E TRANSPORTE DO SOLO</v>
          </cell>
          <cell r="C2716" t="str">
            <v>M3</v>
          </cell>
          <cell r="D2716">
            <v>30.61</v>
          </cell>
        </row>
        <row r="2717">
          <cell r="A2717">
            <v>72919</v>
          </cell>
          <cell r="B2717" t="str">
            <v>BASE DE SOLO CIMENTO 4% MISTURA EM USINA, COMPACTACAO 100% PROCTOR NORMAL, EXCLUSIVE ESCAVACAO, CARGA E TRANSPORTE DO SOLO</v>
          </cell>
          <cell r="C2717" t="str">
            <v>M3</v>
          </cell>
          <cell r="D2717">
            <v>42.14</v>
          </cell>
        </row>
        <row r="2718">
          <cell r="A2718">
            <v>72922</v>
          </cell>
          <cell r="B2718" t="str">
            <v>BASE DE SOLO CIMENTO 6% COM MISTURA EM USINA, COMPACTACAO 100% PROCTOR NORMAL, EXCLUSIVE ESCAVACAO, CARGA E TRANSPORTE DO SOLO</v>
          </cell>
          <cell r="C2718" t="str">
            <v>M3</v>
          </cell>
          <cell r="D2718">
            <v>57.03</v>
          </cell>
        </row>
        <row r="2719">
          <cell r="A2719">
            <v>72923</v>
          </cell>
          <cell r="B2719" t="str">
            <v>BASE DE SOLO - BRITA (40/60), MISTURA EM USINA, COMPACTACAO 100% PROCTOR MODIFICADO, EXCLUSIVE ESCAVACAO, CARGA E TRANSPORTE</v>
          </cell>
          <cell r="C2719" t="str">
            <v>M3</v>
          </cell>
          <cell r="D2719">
            <v>59.2</v>
          </cell>
        </row>
        <row r="2720">
          <cell r="A2720">
            <v>72924</v>
          </cell>
          <cell r="B2720" t="str">
            <v>BASE DE SOLO - BRITA (50/50), MISTURA EM USINA, COMPACTACAO 100% PROCTOR MODIFICADO, EXCLUSIVE ESCAVACAO, CARGA E TRANSPORTE</v>
          </cell>
          <cell r="C2720" t="str">
            <v>M3</v>
          </cell>
          <cell r="D2720">
            <v>51.1</v>
          </cell>
        </row>
        <row r="2721">
          <cell r="A2721">
            <v>72961</v>
          </cell>
          <cell r="B2721" t="str">
            <v>REGULARIZACAO E COMPACTACAO DE SUBLEITO ATE 20 CM DE ESPESSURA</v>
          </cell>
          <cell r="C2721" t="str">
            <v>M2</v>
          </cell>
          <cell r="D2721">
            <v>1.27</v>
          </cell>
        </row>
        <row r="2722">
          <cell r="A2722">
            <v>73710</v>
          </cell>
          <cell r="B2722" t="str">
            <v>BASE PARA PAVIMENTACAO COM BRITA GRADUADA, INCLUSIVE COMPACTACAO</v>
          </cell>
          <cell r="C2722" t="str">
            <v>M3</v>
          </cell>
          <cell r="D2722">
            <v>93.11</v>
          </cell>
        </row>
        <row r="2723">
          <cell r="A2723">
            <v>73711</v>
          </cell>
          <cell r="B2723" t="str">
            <v>BASE PARA PAVIMENTACAO COM BRITA CORRIDA, INCLUSIVE COMPACTACAO</v>
          </cell>
          <cell r="C2723" t="str">
            <v>M3</v>
          </cell>
          <cell r="D2723">
            <v>70.77</v>
          </cell>
        </row>
        <row r="2724">
          <cell r="A2724" t="str">
            <v>73766/1</v>
          </cell>
          <cell r="B2724" t="str">
            <v>BASE PARA PAVIMENTACAO COM MACADAME HIDRAULICO, INCLUSIVE COMPACTACAO</v>
          </cell>
          <cell r="C2724" t="str">
            <v>M3</v>
          </cell>
          <cell r="D2724">
            <v>112.86</v>
          </cell>
        </row>
        <row r="2725">
          <cell r="A2725">
            <v>83772</v>
          </cell>
          <cell r="B2725" t="str">
            <v>BASE SOLO ESTABIL C/ MATERIAIS MISTURADOS NA USINA / TRANSP AGUA EXCL. ESCAV., CARGA E TRANSPORTE DOS SOLOS UTILIZADOS E BRITA</v>
          </cell>
          <cell r="C2725" t="str">
            <v>M3</v>
          </cell>
          <cell r="D2725">
            <v>12.5</v>
          </cell>
        </row>
        <row r="2726">
          <cell r="A2726">
            <v>72799</v>
          </cell>
          <cell r="B2726" t="str">
            <v>PAVIMENTO EM PARALELEPIPEDO SOBRE COLCHAO DE AREIA REJUNTADO COM ARGAMASSA DE CIMENTO E AREIA NO TRAÇO 1:3 (PEDRAS PEQUENAS 30 A 35 PECAS POR M2)</v>
          </cell>
          <cell r="C2726" t="str">
            <v>M2</v>
          </cell>
          <cell r="D2726">
            <v>54.82</v>
          </cell>
        </row>
        <row r="2727">
          <cell r="A2727">
            <v>72942</v>
          </cell>
          <cell r="B2727" t="str">
            <v>PINTURA DE LIGACAO COM EMULSAO RR-1C</v>
          </cell>
          <cell r="C2727" t="str">
            <v>M2</v>
          </cell>
          <cell r="D2727">
            <v>1.1299999999999999</v>
          </cell>
        </row>
        <row r="2728">
          <cell r="A2728">
            <v>72943</v>
          </cell>
          <cell r="B2728" t="str">
            <v>PINTURA DE LIGACAO COM EMULSAO RR-2C</v>
          </cell>
          <cell r="C2728" t="str">
            <v>M2</v>
          </cell>
          <cell r="D2728">
            <v>1.2</v>
          </cell>
        </row>
        <row r="2729">
          <cell r="A2729">
            <v>72944</v>
          </cell>
          <cell r="B2729" t="str">
            <v>PAVIMENTACAO EM PARALELEPIPEDO SOBRE COLCHAO DE AREIA 10CM, REJUNTADO COM AREIA</v>
          </cell>
          <cell r="C2729" t="str">
            <v>M2</v>
          </cell>
          <cell r="D2729">
            <v>44</v>
          </cell>
        </row>
        <row r="2730">
          <cell r="A2730">
            <v>72945</v>
          </cell>
          <cell r="B2730" t="str">
            <v>IMPRIMACAO DE BASE DE PAVIMENTACAO COM EMULSAO CM-30</v>
          </cell>
          <cell r="C2730" t="str">
            <v>M2</v>
          </cell>
          <cell r="D2730">
            <v>3.79</v>
          </cell>
        </row>
        <row r="2731">
          <cell r="A2731">
            <v>72954</v>
          </cell>
          <cell r="B2731" t="str">
            <v>LAMA ASFALTICA FINA COM EMULSAO RL-1C</v>
          </cell>
          <cell r="C2731" t="str">
            <v>M2</v>
          </cell>
          <cell r="D2731">
            <v>3.97</v>
          </cell>
        </row>
        <row r="2732">
          <cell r="A2732">
            <v>72955</v>
          </cell>
          <cell r="B2732" t="str">
            <v>LAMA ASFALTICA GROSSA COM EMULSAO RL-1C</v>
          </cell>
          <cell r="C2732" t="str">
            <v>M2</v>
          </cell>
          <cell r="D2732">
            <v>8.1</v>
          </cell>
        </row>
        <row r="2733">
          <cell r="A2733">
            <v>72956</v>
          </cell>
          <cell r="B2733" t="str">
            <v>TRATAMENTO SUPERFICIAL SIMPLES - TSS, COM EMULSAO RR-2C</v>
          </cell>
          <cell r="C2733" t="str">
            <v>M2</v>
          </cell>
          <cell r="D2733">
            <v>5.81</v>
          </cell>
        </row>
        <row r="2734">
          <cell r="A2734">
            <v>72958</v>
          </cell>
          <cell r="B2734" t="str">
            <v>TRATAMENTO SUPERFICIAL DUPLO - TSD, COM EMULSAO RR-2C</v>
          </cell>
          <cell r="C2734" t="str">
            <v>M2</v>
          </cell>
          <cell r="D2734">
            <v>9.81</v>
          </cell>
        </row>
        <row r="2735">
          <cell r="A2735">
            <v>72960</v>
          </cell>
          <cell r="B2735" t="str">
            <v>TRATAMENTO SUPERFICIAL TRIPLO - TST, COM EMULSAO RR-2C</v>
          </cell>
          <cell r="C2735" t="str">
            <v>M2</v>
          </cell>
          <cell r="D2735">
            <v>12.76</v>
          </cell>
        </row>
        <row r="2736">
          <cell r="A2736">
            <v>72966</v>
          </cell>
          <cell r="B2736" t="str">
            <v>MEIO-FIO GRANITICO 100 X 50 X 15CM, SOBRE BASE DE CONCRETO SIMPLES E REJUNTADO COM ARGAMASSA TRACO 1:3 (CIMENTO E AREIA)</v>
          </cell>
          <cell r="C2736" t="str">
            <v>M</v>
          </cell>
          <cell r="D2736">
            <v>41.25</v>
          </cell>
        </row>
        <row r="2737">
          <cell r="A2737">
            <v>72967</v>
          </cell>
          <cell r="B2737" t="str">
            <v>MEIO-FIO DE CONCRETO PRE-MOLDADO 12 X 30 CM, SOBRE BASE DE CONCRETO SIMPLES E REJUNTADO COM ARGAMASSA TRACO 1:3 (CIMENTO E AREIA)</v>
          </cell>
          <cell r="C2737" t="str">
            <v>M</v>
          </cell>
          <cell r="D2737">
            <v>27.46</v>
          </cell>
        </row>
        <row r="2738">
          <cell r="A2738">
            <v>72969</v>
          </cell>
          <cell r="B2738" t="str">
            <v>CARGA DE PEDRA PARA PAVIMENTO POLIEDRICO</v>
          </cell>
          <cell r="C2738" t="str">
            <v>M2</v>
          </cell>
          <cell r="D2738">
            <v>0.61</v>
          </cell>
        </row>
        <row r="2739">
          <cell r="A2739">
            <v>72971</v>
          </cell>
          <cell r="B2739" t="str">
            <v>COMPACTACAO DE PAVIMENTO POLIEDRICO</v>
          </cell>
          <cell r="C2739" t="str">
            <v>M2</v>
          </cell>
          <cell r="D2739">
            <v>0.3</v>
          </cell>
        </row>
        <row r="2740">
          <cell r="A2740">
            <v>72972</v>
          </cell>
          <cell r="B2740" t="str">
            <v>CONTENCAO LATERAL COM SOLO LOCAL PARA PAVIMENTO POLIEDRICO</v>
          </cell>
          <cell r="C2740" t="str">
            <v>M2</v>
          </cell>
          <cell r="D2740">
            <v>0.48</v>
          </cell>
        </row>
        <row r="2741">
          <cell r="A2741">
            <v>72973</v>
          </cell>
          <cell r="B2741" t="str">
            <v>CORTE E PREPARO DE CORDAO DE PEDRA PARA PAVIMENTO POLIEDRICO</v>
          </cell>
          <cell r="C2741" t="str">
            <v>M</v>
          </cell>
          <cell r="D2741">
            <v>0.91</v>
          </cell>
        </row>
        <row r="2742">
          <cell r="A2742">
            <v>72974</v>
          </cell>
          <cell r="B2742" t="str">
            <v>CORTE E PREPARO DE PEDRA PARA PAVIMENTO POLIEDRICO</v>
          </cell>
          <cell r="C2742" t="str">
            <v>M2</v>
          </cell>
          <cell r="D2742">
            <v>3.05</v>
          </cell>
        </row>
        <row r="2743">
          <cell r="A2743">
            <v>72975</v>
          </cell>
          <cell r="B2743" t="str">
            <v>DESMONTE MANUAL DE PEDRA PARA PAVIMENTO POLIEDRICO</v>
          </cell>
          <cell r="C2743" t="str">
            <v>M2</v>
          </cell>
          <cell r="D2743">
            <v>0.34</v>
          </cell>
        </row>
        <row r="2744">
          <cell r="A2744">
            <v>72976</v>
          </cell>
          <cell r="B2744" t="str">
            <v>CARGA DE CORDAO DE PEDRA PARA PAVIMENTO POLIEDRICO</v>
          </cell>
          <cell r="C2744" t="str">
            <v>M</v>
          </cell>
          <cell r="D2744">
            <v>0.3</v>
          </cell>
        </row>
        <row r="2745">
          <cell r="A2745">
            <v>72977</v>
          </cell>
          <cell r="B2745" t="str">
            <v>ENCHIMENTO COM ARGILA EXTRAIDA PARA PAVIMENTO POLIEDRICO, EXCLUSIVE TRANSPORTE DA ARGILA E INDENIZACAO JAZIDA</v>
          </cell>
          <cell r="C2745" t="str">
            <v>M2</v>
          </cell>
          <cell r="D2745">
            <v>0.31</v>
          </cell>
        </row>
        <row r="2746">
          <cell r="A2746">
            <v>72978</v>
          </cell>
          <cell r="B2746" t="str">
            <v>EXTRACAO, CARGA E ASSENTAMENTO DE CORDAO DE PEDRA PARA PAVIMENTO POLIEDRICO, EXCLUSIVE TRANSPORTE DE PEDRA E INDENIZACAO PEDREIRA</v>
          </cell>
          <cell r="C2746" t="str">
            <v>M</v>
          </cell>
          <cell r="D2746">
            <v>3.05</v>
          </cell>
        </row>
        <row r="2747">
          <cell r="A2747">
            <v>72979</v>
          </cell>
          <cell r="B2747" t="str">
            <v>EXTRACAO, CARGA, PREPARO E ASSENTAMENTO DE PEDRAS POLIEDRICAS, EXCLUSIVE TRANSPORTE DE PEDRA E INDENIZACAO PEDREIRA</v>
          </cell>
          <cell r="C2747" t="str">
            <v>M2</v>
          </cell>
          <cell r="D2747">
            <v>5.84</v>
          </cell>
        </row>
        <row r="2748">
          <cell r="A2748" t="str">
            <v>73760/1</v>
          </cell>
          <cell r="B2748" t="str">
            <v>CAPA SELANTE COMPREENDENDO APLICAÇÃO DE ASFALTO NA PROPORÇÃO DE 0,7 A 1,5L / M2, DISTRIBUIÇÃO DE AGREGADOS DE 5 A 15KG/M2 E COMPACTAÇÃO COM ROLO - COM USO DA EMULSAO RR-2C, INCLUSO APLICACAO E COMPACTACAO</v>
          </cell>
          <cell r="C2748" t="str">
            <v>M2</v>
          </cell>
          <cell r="D2748">
            <v>2.2799999999999998</v>
          </cell>
        </row>
        <row r="2749">
          <cell r="A2749" t="str">
            <v>73764/1</v>
          </cell>
          <cell r="B2749" t="str">
            <v>PAVIMENTACAO EM BLOCOS DE CONCRETO SEXTAVADO, ESPESSURA 6 CM, JUNTA RÍGIDA, COM ARGAMASSA NO TRACO 1:4 (CIMENTO E AREIA), ASSENTADOS SOBRE COLCHAO DE PO DE PEDRA, COM APOIO DE CAMINHÃO TOCO.</v>
          </cell>
          <cell r="C2749" t="str">
            <v>M2</v>
          </cell>
          <cell r="D2749">
            <v>59.78</v>
          </cell>
        </row>
        <row r="2750">
          <cell r="A2750" t="str">
            <v>73764/2</v>
          </cell>
          <cell r="B2750" t="str">
            <v>PAVIMENTACAO EM BLOCOS DE CONCRETO SEXTAVADO, ESPESSURA 8 CM, COM JUNTA RÍGIDA, EM  ARGAMASSA NO TRACO 1:4 (CIMENTO E AREIA), ASSENTADOS SOBRE COLCHAO DE PO DE PEDRA, COM APOIO DE CAMINHÃO TOCO</v>
          </cell>
          <cell r="C2750" t="str">
            <v>M2</v>
          </cell>
          <cell r="D2750">
            <v>64.11</v>
          </cell>
        </row>
        <row r="2751">
          <cell r="A2751" t="str">
            <v>73764/3</v>
          </cell>
          <cell r="B2751" t="str">
            <v>PAVIMENTACAO EM BLOCOS DE CONCRETO SEXTAVADO, ESPESSURA 10 CM, COM JUNTA RÍGIDA, EM ARGAMASSA TRACO 1:4 (CIMENTO E AREIA) , ASSENTADOS SOBRE COLCHAO DE PO DE PEDRA, COM APOIO DE CAMINHÃO TOCO.</v>
          </cell>
          <cell r="C2751" t="str">
            <v>M2</v>
          </cell>
          <cell r="D2751">
            <v>88.13</v>
          </cell>
        </row>
        <row r="2752">
          <cell r="A2752" t="str">
            <v>73764/4</v>
          </cell>
          <cell r="B2752" t="str">
            <v>PAVIMENTACAO EM BLOCOS DE CONCRETO SEXTAVADO, ESPESSURA 6,0 CM, FCK 35MPA, ASSENTADOS SOBRE COLCHAO DE AREIA.</v>
          </cell>
          <cell r="C2752" t="str">
            <v>M2</v>
          </cell>
          <cell r="D2752">
            <v>42.42</v>
          </cell>
        </row>
        <row r="2753">
          <cell r="A2753" t="str">
            <v>73764/5</v>
          </cell>
          <cell r="B2753" t="str">
            <v>PAVIMENTACAO EM BLOCOS DE CONCRETO SEXTAVADO, ESPESSURA 8CM, FCK 35MPA, ASSENTADOS SOBRE COLCHAO DE AREIA.</v>
          </cell>
          <cell r="C2753" t="str">
            <v>M2</v>
          </cell>
          <cell r="D2753">
            <v>47.02</v>
          </cell>
        </row>
        <row r="2754">
          <cell r="A2754" t="str">
            <v>73764/6</v>
          </cell>
          <cell r="B2754" t="str">
            <v>PAVIMENTACAO EM BLOCOS DE CONCRETO SEXTAVADO, ESPESSURA 10CM, FCK 35MPA, ASSENTADOS SOBRE COLCHAO DE AREIA.</v>
          </cell>
          <cell r="C2754" t="str">
            <v>M2</v>
          </cell>
          <cell r="D2754">
            <v>56.61</v>
          </cell>
        </row>
        <row r="2755">
          <cell r="A2755" t="str">
            <v>73765/1</v>
          </cell>
          <cell r="B2755" t="str">
            <v>PAVIMENTACAO EM PARALELEPIPEDO SOBRE COLCHAO DE PO DE PEDRA ESPESSURA 10CM, REJUNTADO COM ARGAMASSA DE CIMENTO E AREIA TRACO 1:3 (CIMENTO E AREIA)</v>
          </cell>
          <cell r="C2755" t="str">
            <v>M2</v>
          </cell>
          <cell r="D2755">
            <v>60.89</v>
          </cell>
        </row>
        <row r="2756">
          <cell r="A2756" t="str">
            <v>73765/2</v>
          </cell>
          <cell r="B2756" t="str">
            <v>PAVIMENTACAO EM PARALELEPIPEDO SOBRE COLCHAO DE PO DE PEDRA ESPESSURA 10CM, REJUNTADO COM BETUME E PEDRISCO</v>
          </cell>
          <cell r="C2756" t="str">
            <v>M2</v>
          </cell>
          <cell r="D2756">
            <v>61.05</v>
          </cell>
        </row>
        <row r="2757">
          <cell r="A2757" t="str">
            <v>73849/1</v>
          </cell>
          <cell r="B2757" t="str">
            <v>AREIA ASFALTO A QUENTE (AAUQ) COM CAP 50/70, INCLUSO USINAGEM E APLICACAO, EXCLUSIVE TRANSPORTE</v>
          </cell>
          <cell r="C2757" t="str">
            <v>M3</v>
          </cell>
          <cell r="D2757">
            <v>472.63</v>
          </cell>
        </row>
        <row r="2758">
          <cell r="A2758" t="str">
            <v>73849/2</v>
          </cell>
          <cell r="B2758" t="str">
            <v>AREIA ASFALTO A FRIO (AAUF), COM EMULSAO RR-2C INCLUSO USINAGEM E APLICACAO, EXCLUSIVE TRANSPORTE</v>
          </cell>
          <cell r="C2758" t="str">
            <v>M3</v>
          </cell>
          <cell r="D2758">
            <v>377.85</v>
          </cell>
        </row>
        <row r="2759">
          <cell r="A2759">
            <v>72947</v>
          </cell>
          <cell r="B2759" t="str">
            <v>SINALIZACAO HORIZONTAL COM TINTA RETRORREFLETIVA A BASE DE RESINA ACRILICA COM MICROESFERAS DE VIDRO</v>
          </cell>
          <cell r="C2759" t="str">
            <v>M2</v>
          </cell>
          <cell r="D2759">
            <v>15.32</v>
          </cell>
        </row>
        <row r="2760">
          <cell r="A2760">
            <v>83693</v>
          </cell>
          <cell r="B2760" t="str">
            <v>CAIACAO EM MEIO FIO</v>
          </cell>
          <cell r="C2760" t="str">
            <v>M2</v>
          </cell>
          <cell r="D2760">
            <v>1.91</v>
          </cell>
        </row>
        <row r="2761">
          <cell r="A2761" t="str">
            <v>73770/1</v>
          </cell>
          <cell r="B2761" t="str">
            <v>BARREIRA PRE-MOLDADA EXTERNA CONCRETO ARMADO 0,25X0,40X1,14M FCK=25MPA ACO CA-50 INCL VIGOTA HORIZONTAL MONTANTE A CADA 1,00M  FERROS DE LIGACAO E MATERIAIS.</v>
          </cell>
          <cell r="C2761" t="str">
            <v>M</v>
          </cell>
          <cell r="D2761">
            <v>389.74</v>
          </cell>
        </row>
        <row r="2762">
          <cell r="A2762" t="str">
            <v>73770/2</v>
          </cell>
          <cell r="B2762" t="str">
            <v>BARREIRA DUPLA PRE-MOL INTER CONCRETO ARMADO 0,15X0,65X0,77M FCK=25MPA ACO CA-50 INCL FERROS DE LIGACAO E MATERIAIS.</v>
          </cell>
          <cell r="C2762" t="str">
            <v>M</v>
          </cell>
          <cell r="D2762">
            <v>302.94</v>
          </cell>
        </row>
        <row r="2763">
          <cell r="A2763" t="str">
            <v>83696/1</v>
          </cell>
          <cell r="B2763" t="str">
            <v>PINTURA GUARDA-CORPO GUARDA-RODA E MURETA PROTECAO COM CAL EM PONTES EVIADUTOS MEDIDA PELO DOBRO DA AREA TOTAL (LARGURAXALTURA).</v>
          </cell>
          <cell r="C2763" t="str">
            <v>M2</v>
          </cell>
          <cell r="D2763">
            <v>2.99</v>
          </cell>
        </row>
        <row r="2764">
          <cell r="A2764">
            <v>72962</v>
          </cell>
          <cell r="B2764" t="str">
            <v>USINAGEM DE CBUQ COM CAP 50/70, PARA CAPA DE ROLAMENTO</v>
          </cell>
          <cell r="C2764" t="str">
            <v>T</v>
          </cell>
          <cell r="D2764">
            <v>163.63999999999999</v>
          </cell>
        </row>
        <row r="2765">
          <cell r="A2765">
            <v>72963</v>
          </cell>
          <cell r="B2765" t="str">
            <v>USINAGEM DE CBUQ COM CAP 50/70, PARA BINDER</v>
          </cell>
          <cell r="C2765" t="str">
            <v>T</v>
          </cell>
          <cell r="D2765">
            <v>138.63999999999999</v>
          </cell>
        </row>
        <row r="2766">
          <cell r="A2766">
            <v>72964</v>
          </cell>
          <cell r="B2766" t="str">
            <v>CONCRETO BETUMINOSO USINADO A QUENTE COM CAP 50/70, BINDER, INCLUSO USINAGEM E APLICACAO, EXCLUSIVE TRANSPORTE</v>
          </cell>
          <cell r="C2766" t="str">
            <v>T</v>
          </cell>
          <cell r="D2766">
            <v>148.46</v>
          </cell>
        </row>
        <row r="2767">
          <cell r="A2767">
            <v>72965</v>
          </cell>
          <cell r="B2767" t="str">
            <v>FABRICAÇÃO E APLICAÇÃO DE CONCRETO BETUMINOSO USINADO A QUENTE(CBUQ),CAP 50/70,  EXCLUSIVE TRANSPORTE</v>
          </cell>
          <cell r="C2767" t="str">
            <v>T</v>
          </cell>
          <cell r="D2767">
            <v>173.46</v>
          </cell>
        </row>
        <row r="2768">
          <cell r="A2768" t="str">
            <v>73759/2</v>
          </cell>
          <cell r="B2768" t="str">
            <v>PRE-MISTURADO A FRIO COM EMULSAO RM-1C, INCLUSO USINAGEM E APLICACAO, EXCLUSIVE TRANSPORTE</v>
          </cell>
          <cell r="C2768" t="str">
            <v>M3</v>
          </cell>
          <cell r="D2768">
            <v>320.64</v>
          </cell>
        </row>
        <row r="2769">
          <cell r="A2769">
            <v>72125</v>
          </cell>
          <cell r="B2769" t="str">
            <v>REMOÇÃO DE PINTURA PVA/ACRILICA</v>
          </cell>
          <cell r="C2769" t="str">
            <v>M2</v>
          </cell>
          <cell r="D2769">
            <v>4.95</v>
          </cell>
        </row>
        <row r="2770">
          <cell r="A2770" t="str">
            <v>73746/1</v>
          </cell>
          <cell r="B2770" t="str">
            <v>PINTURA COM TINTA TEXTURIZADA ACRILICA</v>
          </cell>
          <cell r="C2770" t="str">
            <v>M2</v>
          </cell>
          <cell r="D2770">
            <v>14</v>
          </cell>
        </row>
        <row r="2771">
          <cell r="A2771" t="str">
            <v>73750/1</v>
          </cell>
          <cell r="B2771" t="str">
            <v>PINTURA PVA, DUAS DEMAOS</v>
          </cell>
          <cell r="C2771" t="str">
            <v>M2</v>
          </cell>
          <cell r="D2771">
            <v>7.86</v>
          </cell>
        </row>
        <row r="2772">
          <cell r="A2772" t="str">
            <v>73751/1</v>
          </cell>
          <cell r="B2772" t="str">
            <v>FUNDO SELADOR PVA, UMA DEMAO</v>
          </cell>
          <cell r="C2772" t="str">
            <v>M2</v>
          </cell>
          <cell r="D2772">
            <v>3.68</v>
          </cell>
        </row>
        <row r="2773">
          <cell r="A2773" t="str">
            <v>73791/1</v>
          </cell>
          <cell r="B2773" t="str">
            <v>PINTURA COM TINTA EM PO INDUSTRIALIZADA A BASE DE CAL, DUAS DEMAOS</v>
          </cell>
          <cell r="C2773" t="str">
            <v>M2</v>
          </cell>
          <cell r="D2773">
            <v>5.0199999999999996</v>
          </cell>
        </row>
        <row r="2774">
          <cell r="A2774" t="str">
            <v>73954/1</v>
          </cell>
          <cell r="B2774" t="str">
            <v>PINTURA LATEX ACRILICA, TRES DEMAOS</v>
          </cell>
          <cell r="C2774" t="str">
            <v>M2</v>
          </cell>
          <cell r="D2774">
            <v>11.69</v>
          </cell>
        </row>
        <row r="2775">
          <cell r="A2775" t="str">
            <v>73954/2</v>
          </cell>
          <cell r="B2775" t="str">
            <v>PINTURA LATEX ACRILICA, DUAS DEMAOS</v>
          </cell>
          <cell r="C2775" t="str">
            <v>M2</v>
          </cell>
          <cell r="D2775">
            <v>8.42</v>
          </cell>
        </row>
        <row r="2776">
          <cell r="A2776" t="str">
            <v>73954/3</v>
          </cell>
          <cell r="B2776" t="str">
            <v>PINTURA LATEX ACRILICA, UMA DEMAO</v>
          </cell>
          <cell r="C2776" t="str">
            <v>M2</v>
          </cell>
          <cell r="D2776">
            <v>4.97</v>
          </cell>
        </row>
        <row r="2777">
          <cell r="A2777" t="str">
            <v>73955/1</v>
          </cell>
          <cell r="B2777" t="str">
            <v>EMASSAMENTO COM MASSA PVA, UMA DEMAO</v>
          </cell>
          <cell r="C2777" t="str">
            <v>M2</v>
          </cell>
          <cell r="D2777">
            <v>4.5</v>
          </cell>
        </row>
        <row r="2778">
          <cell r="A2778" t="str">
            <v>73955/2</v>
          </cell>
          <cell r="B2778" t="str">
            <v>EMASSAMENTO COM MASSA PVA, DUAS DEMAOS</v>
          </cell>
          <cell r="C2778" t="str">
            <v>M2</v>
          </cell>
          <cell r="D2778">
            <v>9.01</v>
          </cell>
        </row>
        <row r="2779">
          <cell r="A2779" t="str">
            <v>73999/1</v>
          </cell>
          <cell r="B2779" t="str">
            <v>PINTURA A BASE DE CAL E FIXADOR A BASE DE OLEO DE LINHACA, TRES DEMAOS</v>
          </cell>
          <cell r="C2779" t="str">
            <v>M2</v>
          </cell>
          <cell r="D2779">
            <v>4.45</v>
          </cell>
        </row>
        <row r="2780">
          <cell r="A2780" t="str">
            <v>74133/1</v>
          </cell>
          <cell r="B2780" t="str">
            <v>EMASSAMENTO COM MASA A OLEO, UMA DEMAO</v>
          </cell>
          <cell r="C2780" t="str">
            <v>M2</v>
          </cell>
          <cell r="D2780">
            <v>13.54</v>
          </cell>
        </row>
        <row r="2781">
          <cell r="A2781" t="str">
            <v>74133/2</v>
          </cell>
          <cell r="B2781" t="str">
            <v>EMASSAMENTO COM MASSA A OLEO, DUAS DEMAOS</v>
          </cell>
          <cell r="C2781" t="str">
            <v>M2</v>
          </cell>
          <cell r="D2781">
            <v>17.29</v>
          </cell>
        </row>
        <row r="2782">
          <cell r="A2782" t="str">
            <v>74134/1</v>
          </cell>
          <cell r="B2782" t="str">
            <v>EMASSAMENTO COM MASSA ACRILICA, UMA DEMAO</v>
          </cell>
          <cell r="C2782" t="str">
            <v>M2</v>
          </cell>
          <cell r="D2782">
            <v>6.88</v>
          </cell>
        </row>
        <row r="2783">
          <cell r="A2783" t="str">
            <v>74134/2</v>
          </cell>
          <cell r="B2783" t="str">
            <v>EMASSAMENTO COM MASSA ACRILICA, DUAS DEMAOS</v>
          </cell>
          <cell r="C2783" t="str">
            <v>M2</v>
          </cell>
          <cell r="D2783">
            <v>13.69</v>
          </cell>
        </row>
        <row r="2784">
          <cell r="A2784" t="str">
            <v>74233/1</v>
          </cell>
          <cell r="B2784" t="str">
            <v>FUNDO SELADOR ACRILICO, UMA DEMAO</v>
          </cell>
          <cell r="C2784" t="str">
            <v>M2</v>
          </cell>
          <cell r="D2784">
            <v>3.44</v>
          </cell>
        </row>
        <row r="2785">
          <cell r="A2785" t="str">
            <v>79334/1</v>
          </cell>
          <cell r="B2785" t="str">
            <v>PINTURA A BASE DE CAL E FIXADOR A BASE DE COLA, DUAS DEMAOS</v>
          </cell>
          <cell r="C2785" t="str">
            <v>M2</v>
          </cell>
          <cell r="D2785">
            <v>4.0199999999999996</v>
          </cell>
        </row>
        <row r="2786">
          <cell r="A2786">
            <v>79461</v>
          </cell>
          <cell r="B2786" t="str">
            <v>PINTURA COM LIQUIDO PARA BRILHO, UMA DEMAO</v>
          </cell>
          <cell r="C2786" t="str">
            <v>M2</v>
          </cell>
          <cell r="D2786">
            <v>5.64</v>
          </cell>
        </row>
        <row r="2787">
          <cell r="A2787">
            <v>79462</v>
          </cell>
          <cell r="B2787" t="str">
            <v>EMASSAMENTO COM MASSA EPOXI, 2 DEMAOS</v>
          </cell>
          <cell r="C2787" t="str">
            <v>M2</v>
          </cell>
          <cell r="D2787">
            <v>52.73</v>
          </cell>
        </row>
        <row r="2788">
          <cell r="A2788" t="str">
            <v>79494/1</v>
          </cell>
          <cell r="B2788" t="str">
            <v>PINTURA DE QUADRO ESCOLAR COM TINTA ESMALTE ACABAMENTO FOSCO, DUAS DEMAOS SOBRE MASSA ACRILICA</v>
          </cell>
          <cell r="C2788" t="str">
            <v>M2</v>
          </cell>
          <cell r="D2788">
            <v>8.9</v>
          </cell>
        </row>
        <row r="2789">
          <cell r="A2789" t="str">
            <v>79495/1</v>
          </cell>
          <cell r="B2789" t="str">
            <v>PINTURA PVA 2 DEMAOS INCLUSO LIQUIDO PARA BRILHO NA ULTIMA DEMAO</v>
          </cell>
          <cell r="C2789" t="str">
            <v>M2</v>
          </cell>
          <cell r="D2789">
            <v>7.96</v>
          </cell>
        </row>
        <row r="2790">
          <cell r="A2790" t="str">
            <v>79495/3</v>
          </cell>
          <cell r="B2790" t="str">
            <v>PINTURA C/REGULADOR DE BRILHO EM UMA DEMAO ADICIONADO AO PVA</v>
          </cell>
          <cell r="C2790" t="str">
            <v>M2</v>
          </cell>
          <cell r="D2790">
            <v>3.95</v>
          </cell>
        </row>
        <row r="2791">
          <cell r="A2791">
            <v>84649</v>
          </cell>
          <cell r="B2791" t="str">
            <v>PINTURA COM TINTA EM PO INDUSTRIALIZADA A BASE DE CAL, TRES DEMAOS</v>
          </cell>
          <cell r="C2791" t="str">
            <v>M2</v>
          </cell>
          <cell r="D2791">
            <v>5.84</v>
          </cell>
        </row>
        <row r="2792">
          <cell r="A2792">
            <v>84651</v>
          </cell>
          <cell r="B2792" t="str">
            <v>PINTURA COM TINTA IMPERMEAVEL MINERAL EM PO, DUAS DEMAOS</v>
          </cell>
          <cell r="C2792" t="str">
            <v>M2</v>
          </cell>
          <cell r="D2792">
            <v>6.5</v>
          </cell>
        </row>
        <row r="2793">
          <cell r="A2793">
            <v>84652</v>
          </cell>
          <cell r="B2793" t="str">
            <v>PINTURA A BASE DE CAL COM PIGMENTO E FIXADOR A BASE DE OLEO DE LINHAÇA, TRES DEMAOS</v>
          </cell>
          <cell r="C2793" t="str">
            <v>M2</v>
          </cell>
          <cell r="D2793">
            <v>4.41</v>
          </cell>
        </row>
        <row r="2794">
          <cell r="A2794">
            <v>84653</v>
          </cell>
          <cell r="B2794" t="str">
            <v>FUNDO PREPARADOR ACRILICO, UMA DEMAO</v>
          </cell>
          <cell r="C2794" t="str">
            <v>M2</v>
          </cell>
          <cell r="D2794">
            <v>6.59</v>
          </cell>
        </row>
        <row r="2795">
          <cell r="A2795">
            <v>84655</v>
          </cell>
          <cell r="B2795" t="str">
            <v>PINTURA COM RESINA ACRÍLICA, 2 DEMÃOS</v>
          </cell>
          <cell r="C2795" t="str">
            <v>M2</v>
          </cell>
          <cell r="D2795">
            <v>10.74</v>
          </cell>
        </row>
        <row r="2796">
          <cell r="A2796">
            <v>79460</v>
          </cell>
          <cell r="B2796" t="str">
            <v>PINTURA EPOXI, DUAS DEMAOS</v>
          </cell>
          <cell r="C2796" t="str">
            <v>M2</v>
          </cell>
          <cell r="D2796">
            <v>34.46</v>
          </cell>
        </row>
        <row r="2797">
          <cell r="A2797">
            <v>79465</v>
          </cell>
          <cell r="B2797" t="str">
            <v>PINTURA COM TINTA A BASE DE BORRACHA CLORADA, 2 DEMAOS</v>
          </cell>
          <cell r="C2797" t="str">
            <v>M2</v>
          </cell>
          <cell r="D2797">
            <v>20.12</v>
          </cell>
        </row>
        <row r="2798">
          <cell r="A2798" t="str">
            <v>79514/1</v>
          </cell>
          <cell r="B2798" t="str">
            <v>PINTURA EPOXI, TRES DEMAOS</v>
          </cell>
          <cell r="C2798" t="str">
            <v>M2</v>
          </cell>
          <cell r="D2798">
            <v>49.25</v>
          </cell>
        </row>
        <row r="2799">
          <cell r="A2799">
            <v>84647</v>
          </cell>
          <cell r="B2799" t="str">
            <v>PINTURA EPOXI INCLUSO EMASSAMENTO E FUNDO PREPARADOR</v>
          </cell>
          <cell r="C2799" t="str">
            <v>M2</v>
          </cell>
          <cell r="D2799">
            <v>100.35</v>
          </cell>
        </row>
        <row r="2800">
          <cell r="A2800">
            <v>84656</v>
          </cell>
          <cell r="B2800" t="str">
            <v>TRATAMENTO EM  CONCRETO COM ESTUQUE E LIXAMENTO</v>
          </cell>
          <cell r="C2800" t="str">
            <v>M2</v>
          </cell>
          <cell r="D2800">
            <v>18.309999999999999</v>
          </cell>
        </row>
        <row r="2801">
          <cell r="A2801">
            <v>84671</v>
          </cell>
          <cell r="B2801" t="str">
            <v>PINTURA DE NATA DE CIMENTO, 3 DEMAOS</v>
          </cell>
          <cell r="C2801" t="str">
            <v>M2</v>
          </cell>
          <cell r="D2801">
            <v>5.79</v>
          </cell>
        </row>
        <row r="2802">
          <cell r="A2802">
            <v>84677</v>
          </cell>
          <cell r="B2802" t="str">
            <v>VERNIZ SINTETICO BRILHANTE EM CONCRETO OU TIJOLO, DUAS DEMAOS</v>
          </cell>
          <cell r="C2802" t="str">
            <v>M2</v>
          </cell>
          <cell r="D2802">
            <v>6.77</v>
          </cell>
        </row>
        <row r="2803">
          <cell r="A2803">
            <v>84678</v>
          </cell>
          <cell r="B2803" t="str">
            <v>VERNIZ POLIURETANO BRILHANTE EM CONCRETO OU TIJOLO, TRES DEMAOS</v>
          </cell>
          <cell r="C2803" t="str">
            <v>M2</v>
          </cell>
          <cell r="D2803">
            <v>11.56</v>
          </cell>
        </row>
        <row r="2804">
          <cell r="A2804">
            <v>6081</v>
          </cell>
          <cell r="B2804" t="str">
            <v>PINTURA VERNIZ POLIURETANO BRILHANTE EM MADEIRA, TRES DEMAOS</v>
          </cell>
          <cell r="C2804" t="str">
            <v>M2</v>
          </cell>
          <cell r="D2804">
            <v>13.11</v>
          </cell>
        </row>
        <row r="2805">
          <cell r="A2805">
            <v>6082</v>
          </cell>
          <cell r="B2805" t="str">
            <v>PINTURA EM VERNIZ SINTETICO BRILHANTE EM MADEIRA, TRES DEMAOS</v>
          </cell>
          <cell r="C2805" t="str">
            <v>M2</v>
          </cell>
          <cell r="D2805">
            <v>10.050000000000001</v>
          </cell>
        </row>
        <row r="2806">
          <cell r="A2806">
            <v>40905</v>
          </cell>
          <cell r="B2806" t="str">
            <v>VERNIZ SINTETICO EM MADEIRA, DUAS DEMAOS</v>
          </cell>
          <cell r="C2806" t="str">
            <v>M2</v>
          </cell>
          <cell r="D2806">
            <v>12.92</v>
          </cell>
        </row>
        <row r="2807">
          <cell r="A2807" t="str">
            <v>73739/1</v>
          </cell>
          <cell r="B2807" t="str">
            <v>PINTURA ESMALTE ACETINADO EM MADEIRA, DUAS DEMAOS</v>
          </cell>
          <cell r="C2807" t="str">
            <v>M2</v>
          </cell>
          <cell r="D2807">
            <v>10.9</v>
          </cell>
        </row>
        <row r="2808">
          <cell r="A2808" t="str">
            <v>74065/1</v>
          </cell>
          <cell r="B2808" t="str">
            <v>PINTURA ESMALTE FOSCO PARA MADEIRA, DUAS DEMAOS, SOBRE FUNDO NIVELADOR BRANCO</v>
          </cell>
          <cell r="C2808" t="str">
            <v>M2</v>
          </cell>
          <cell r="D2808">
            <v>17.13</v>
          </cell>
        </row>
        <row r="2809">
          <cell r="A2809" t="str">
            <v>74065/2</v>
          </cell>
          <cell r="B2809" t="str">
            <v>PINTURA ESMALTE ACETINADO PARA MADEIRA, DUAS DEMAOS, SOBRE FUNDO NIVELADOR BRANCO</v>
          </cell>
          <cell r="C2809" t="str">
            <v>M2</v>
          </cell>
          <cell r="D2809">
            <v>17.05</v>
          </cell>
        </row>
        <row r="2810">
          <cell r="A2810" t="str">
            <v>74065/3</v>
          </cell>
          <cell r="B2810" t="str">
            <v>PINTURA ESMALTE BRILHANTE PARA MADEIRA, DUAS DEMAOS, SOBRE FUNDO NIVELADOR BRANCO</v>
          </cell>
          <cell r="C2810" t="str">
            <v>M2</v>
          </cell>
          <cell r="D2810">
            <v>16.829999999999998</v>
          </cell>
        </row>
        <row r="2811">
          <cell r="A2811">
            <v>79463</v>
          </cell>
          <cell r="B2811" t="str">
            <v>PINTURA A OLEO, 1 DEMAO</v>
          </cell>
          <cell r="C2811" t="str">
            <v>M2</v>
          </cell>
          <cell r="D2811">
            <v>8.25</v>
          </cell>
        </row>
        <row r="2812">
          <cell r="A2812">
            <v>79464</v>
          </cell>
          <cell r="B2812" t="str">
            <v>PINTURA A OLEO, 2 DEMAOS</v>
          </cell>
          <cell r="C2812" t="str">
            <v>M2</v>
          </cell>
          <cell r="D2812">
            <v>11.2</v>
          </cell>
        </row>
        <row r="2813">
          <cell r="A2813">
            <v>79466</v>
          </cell>
          <cell r="B2813" t="str">
            <v>PINTURA COM VERNIZ POLIURETANO, 2 DEMAOS</v>
          </cell>
          <cell r="C2813" t="str">
            <v>M2</v>
          </cell>
          <cell r="D2813">
            <v>11.95</v>
          </cell>
        </row>
        <row r="2814">
          <cell r="A2814" t="str">
            <v>79497/1</v>
          </cell>
          <cell r="B2814" t="str">
            <v>PINTURA A OLEO, 3 DEMAOS</v>
          </cell>
          <cell r="C2814" t="str">
            <v>M2</v>
          </cell>
          <cell r="D2814">
            <v>13.94</v>
          </cell>
        </row>
        <row r="2815">
          <cell r="A2815">
            <v>84645</v>
          </cell>
          <cell r="B2815" t="str">
            <v>VERNIZ SINTETICO BRILHANTE, 2 DEMAOS</v>
          </cell>
          <cell r="C2815" t="str">
            <v>M2</v>
          </cell>
          <cell r="D2815">
            <v>11.18</v>
          </cell>
        </row>
        <row r="2816">
          <cell r="A2816">
            <v>84657</v>
          </cell>
          <cell r="B2816" t="str">
            <v>FUNDO SINTETICO NIVELADOR BRANCO</v>
          </cell>
          <cell r="C2816" t="str">
            <v>M2</v>
          </cell>
          <cell r="D2816">
            <v>7.95</v>
          </cell>
        </row>
        <row r="2817">
          <cell r="A2817">
            <v>84658</v>
          </cell>
          <cell r="B2817" t="str">
            <v>REMOÇÃO DE VERNIZ SOBRE MADEIRA</v>
          </cell>
          <cell r="C2817" t="str">
            <v>M2</v>
          </cell>
          <cell r="D2817">
            <v>3.12</v>
          </cell>
        </row>
        <row r="2818">
          <cell r="A2818">
            <v>84659</v>
          </cell>
          <cell r="B2818" t="str">
            <v>PINTURA ESMALTE FOSCO EM MADEIRA, DUAS DEMAOS</v>
          </cell>
          <cell r="C2818" t="str">
            <v>M2</v>
          </cell>
          <cell r="D2818">
            <v>9.9600000000000009</v>
          </cell>
        </row>
        <row r="2819">
          <cell r="A2819">
            <v>84664</v>
          </cell>
          <cell r="B2819" t="str">
            <v>PINTURA IMUNIZANTE FUNGICIDA A BASE DE CARBOLINEUM, DUAS DEMAOS</v>
          </cell>
          <cell r="C2819" t="str">
            <v>M2</v>
          </cell>
          <cell r="D2819">
            <v>2.41</v>
          </cell>
        </row>
        <row r="2820">
          <cell r="A2820">
            <v>84679</v>
          </cell>
          <cell r="B2820" t="str">
            <v>PINTURA IMUNIZANTE PARA MADEIRA, DUAS DEMAOS</v>
          </cell>
          <cell r="C2820" t="str">
            <v>M2</v>
          </cell>
          <cell r="D2820">
            <v>13.23</v>
          </cell>
        </row>
        <row r="2821">
          <cell r="A2821">
            <v>6067</v>
          </cell>
          <cell r="B2821" t="str">
            <v>PINTURA ESMALTE BRILHANTE (2 DEMAOS) SOBRE SUPERFICIE METALICA, INCLUSIVE PROTECAO COM ZARCAO (1 DEMAO)</v>
          </cell>
          <cell r="C2821" t="str">
            <v>M2</v>
          </cell>
          <cell r="D2821">
            <v>23.56</v>
          </cell>
        </row>
        <row r="2822">
          <cell r="A2822">
            <v>73656</v>
          </cell>
          <cell r="B2822" t="str">
            <v>JATEAMENTO COM AREIA EM ESTRUTURA METALICA</v>
          </cell>
          <cell r="C2822" t="str">
            <v>M2</v>
          </cell>
          <cell r="D2822">
            <v>6.13</v>
          </cell>
        </row>
        <row r="2823">
          <cell r="A2823" t="str">
            <v>73794/1</v>
          </cell>
          <cell r="B2823" t="str">
            <v>PINTURA COM TINTA PROTETORA ACABAMENTO GRAFITE ESMALTE SOBRE SUPERFICIE METALICA, 2 DEMAOS</v>
          </cell>
          <cell r="C2823" t="str">
            <v>M2</v>
          </cell>
          <cell r="D2823">
            <v>20.82</v>
          </cell>
        </row>
        <row r="2824">
          <cell r="A2824" t="str">
            <v>73865/1</v>
          </cell>
          <cell r="B2824" t="str">
            <v>FUNDO PREPARADOR PRIMER A BASE DE EPOXI, PARA ESTRUTURA METALICA, UMA DEMAO, ESPESSURA DE 25 MICRA.</v>
          </cell>
          <cell r="C2824" t="str">
            <v>M2</v>
          </cell>
          <cell r="D2824">
            <v>6.22</v>
          </cell>
        </row>
        <row r="2825">
          <cell r="A2825" t="str">
            <v>73924/1</v>
          </cell>
          <cell r="B2825" t="str">
            <v>PINTURA ESMALTE ALTO BRILHO, DUAS DEMAOS, SOBRE SUPERFICIE METALICA</v>
          </cell>
          <cell r="C2825" t="str">
            <v>M2</v>
          </cell>
          <cell r="D2825">
            <v>16.46</v>
          </cell>
        </row>
        <row r="2826">
          <cell r="A2826" t="str">
            <v>73924/2</v>
          </cell>
          <cell r="B2826" t="str">
            <v>PINTURA ESMALTE ACETINADO, DUAS DEMAOS, SOBRE SUPERFICIE METALICA</v>
          </cell>
          <cell r="C2826" t="str">
            <v>M2</v>
          </cell>
          <cell r="D2826">
            <v>16.670000000000002</v>
          </cell>
        </row>
        <row r="2827">
          <cell r="A2827" t="str">
            <v>73924/3</v>
          </cell>
          <cell r="B2827" t="str">
            <v>PINTURA ESMALTE FOSCO, DUAS DEMAOS, SOBRE SUPERFICIE METALICA</v>
          </cell>
          <cell r="C2827" t="str">
            <v>M2</v>
          </cell>
          <cell r="D2827">
            <v>16.760000000000002</v>
          </cell>
        </row>
        <row r="2828">
          <cell r="A2828" t="str">
            <v>74064/1</v>
          </cell>
          <cell r="B2828" t="str">
            <v>FUNDO ANTICORROSIVO A BASE DE OXIDO DE FERRO (ZARCAO), DUAS DEMAOS</v>
          </cell>
          <cell r="C2828" t="str">
            <v>M2</v>
          </cell>
          <cell r="D2828">
            <v>12.37</v>
          </cell>
        </row>
        <row r="2829">
          <cell r="A2829" t="str">
            <v>74064/2</v>
          </cell>
          <cell r="B2829" t="str">
            <v>FUNDO ANTICORROSIVO A BASE DE OXIDO DE FERRO (ZARCAO), UMA DEMAO</v>
          </cell>
          <cell r="C2829" t="str">
            <v>M2</v>
          </cell>
          <cell r="D2829">
            <v>7.82</v>
          </cell>
        </row>
        <row r="2830">
          <cell r="A2830" t="str">
            <v>74145/1</v>
          </cell>
          <cell r="B2830" t="str">
            <v>PINTURA ESMALTE FOSCO, DUAS DEMAOS, SOBRE SUPERFICIE METALICA, INCLUSO UMA DEMAO DE FUNDO ANTICORROSIVO. UTILIZACAO DE REVOLVER ( AR-COMPRIMIDO).</v>
          </cell>
          <cell r="C2830" t="str">
            <v>M2</v>
          </cell>
          <cell r="D2830">
            <v>13.11</v>
          </cell>
        </row>
        <row r="2831">
          <cell r="A2831" t="str">
            <v>79498/1</v>
          </cell>
          <cell r="B2831" t="str">
            <v>PINTURA A OLEO BRILHANTE SOBRE SUPERFICIE METALICA, UMA DEMAO INCLUSO UMA DEMAO DE FUNDO ANTICORROSIVO</v>
          </cell>
          <cell r="C2831" t="str">
            <v>M2</v>
          </cell>
          <cell r="D2831">
            <v>10.79</v>
          </cell>
        </row>
        <row r="2832">
          <cell r="A2832" t="str">
            <v>79499/1</v>
          </cell>
          <cell r="B2832" t="str">
            <v>PINTURA POSTE RETO DE ACO 3,5 A 6M C/1 DEMAO D/TINTA GRAFITE C/PROPRIEDADES DE PRIMER E ACABAMENTO - OBS: C/ALTO TEOR DE ZARCAO</v>
          </cell>
          <cell r="C2832" t="str">
            <v>UN</v>
          </cell>
          <cell r="D2832">
            <v>15.16</v>
          </cell>
        </row>
        <row r="2833">
          <cell r="A2833" t="str">
            <v>79515/1</v>
          </cell>
          <cell r="B2833" t="str">
            <v>PINTURA COM TINTA PROTETORA ACABAMENTO ALUMINIO, TRES DEMAOS</v>
          </cell>
          <cell r="C2833" t="str">
            <v>M2</v>
          </cell>
          <cell r="D2833">
            <v>21.53</v>
          </cell>
        </row>
        <row r="2834">
          <cell r="A2834" t="str">
            <v>79516/1</v>
          </cell>
          <cell r="B2834" t="str">
            <v>REMOCAO DE PINTURA A OLEO/ESMALTE SOBRE SUPERFICIE METALICA</v>
          </cell>
          <cell r="C2834" t="str">
            <v>M2</v>
          </cell>
          <cell r="D2834">
            <v>8.39</v>
          </cell>
        </row>
        <row r="2835">
          <cell r="A2835">
            <v>84660</v>
          </cell>
          <cell r="B2835" t="str">
            <v>FUNDO PREPARADOR PRIMER SINTETICO, PARA ESTRUTURA METALICA, UMA DEMÃO, ESPESSURA DE 25 MICRA</v>
          </cell>
          <cell r="C2835" t="str">
            <v>M2</v>
          </cell>
          <cell r="D2835">
            <v>4.41</v>
          </cell>
        </row>
        <row r="2836">
          <cell r="A2836">
            <v>84661</v>
          </cell>
          <cell r="B2836" t="str">
            <v>PINTURA COM TINTA PROTETORA ACABAMENTO ALUMINIO, UMA DEMAO SOBRE SUPERFCIE METALICA</v>
          </cell>
          <cell r="C2836" t="str">
            <v>M2</v>
          </cell>
          <cell r="D2836">
            <v>10.84</v>
          </cell>
        </row>
        <row r="2837">
          <cell r="A2837">
            <v>84662</v>
          </cell>
          <cell r="B2837" t="str">
            <v>PINTURA COM TINTA PROTETORA ACABAMENTO ALUMINIO, DUAS DEMAOS SOBRE SUPERFICIE METALICA</v>
          </cell>
          <cell r="C2837" t="str">
            <v>M2</v>
          </cell>
          <cell r="D2837">
            <v>16.82</v>
          </cell>
        </row>
        <row r="2838">
          <cell r="A2838">
            <v>73715</v>
          </cell>
          <cell r="B2838" t="str">
            <v>PINTURA VERNIZ TIPO GOMA LACA DISSOLVIDO EM ALCOOL</v>
          </cell>
          <cell r="C2838" t="str">
            <v>M2</v>
          </cell>
          <cell r="D2838">
            <v>38.659999999999997</v>
          </cell>
        </row>
        <row r="2839">
          <cell r="A2839">
            <v>41595</v>
          </cell>
          <cell r="B2839" t="str">
            <v>PINTURA ACRILICA DE FAIXAS DE DEMARCACAO EM QUADRA POLIESPORTIVA, 5 CM DE LARGURA</v>
          </cell>
          <cell r="C2839" t="str">
            <v>M</v>
          </cell>
          <cell r="D2839">
            <v>6.33</v>
          </cell>
        </row>
        <row r="2840">
          <cell r="A2840" t="str">
            <v>73978/1</v>
          </cell>
          <cell r="B2840" t="str">
            <v>PINTURA HIDROFUGANTE COM SILICONE SOBRE PISO CIMENTADO, UMA DEMAO</v>
          </cell>
          <cell r="C2840" t="str">
            <v>M2</v>
          </cell>
          <cell r="D2840">
            <v>12.17</v>
          </cell>
        </row>
        <row r="2841">
          <cell r="A2841" t="str">
            <v>74245/1</v>
          </cell>
          <cell r="B2841" t="str">
            <v>PINTURA ACRILICA EM PISO CIMENTADO DUAS DEMAOS</v>
          </cell>
          <cell r="C2841" t="str">
            <v>M2</v>
          </cell>
          <cell r="D2841">
            <v>8.41</v>
          </cell>
        </row>
        <row r="2842">
          <cell r="A2842">
            <v>79467</v>
          </cell>
          <cell r="B2842" t="str">
            <v>PINTURA COM TINTA A BASE DE BORRACHA CLORADA , DE FAIXAS DE DEMARCACAO, EM QUADRA POLIESPORTIVA, 5 CM DE LARGURA.</v>
          </cell>
          <cell r="C2842" t="str">
            <v>ML</v>
          </cell>
          <cell r="D2842">
            <v>7.26</v>
          </cell>
        </row>
        <row r="2843">
          <cell r="A2843" t="str">
            <v>79500/2</v>
          </cell>
          <cell r="B2843" t="str">
            <v>PINTURA ACRILICA EM PISO CIMENTADO, TRES DEMAOS</v>
          </cell>
          <cell r="C2843" t="str">
            <v>M2</v>
          </cell>
          <cell r="D2843">
            <v>11.91</v>
          </cell>
        </row>
        <row r="2844">
          <cell r="A2844">
            <v>84663</v>
          </cell>
          <cell r="B2844" t="str">
            <v>APLICACAO DE VERNIZ POLIURETANO FOSCO SOBRE PISO DE PEDRAS DECORATIVAS, 3 DEMAOS</v>
          </cell>
          <cell r="C2844" t="str">
            <v>M2</v>
          </cell>
          <cell r="D2844">
            <v>13.99</v>
          </cell>
        </row>
        <row r="2845">
          <cell r="A2845">
            <v>84665</v>
          </cell>
          <cell r="B2845" t="str">
            <v>PINTURA ACRILICA PARA SINALIZAÇÃO HORIZONTAL EM PISO CIMENTADO</v>
          </cell>
          <cell r="C2845" t="str">
            <v>M2</v>
          </cell>
          <cell r="D2845">
            <v>18.649999999999999</v>
          </cell>
        </row>
        <row r="2846">
          <cell r="A2846">
            <v>84666</v>
          </cell>
          <cell r="B2846" t="str">
            <v>POLIMENTO E ENCERAMENTO DE PISO EM MADEIRA</v>
          </cell>
          <cell r="C2846" t="str">
            <v>M2</v>
          </cell>
          <cell r="D2846">
            <v>12.61</v>
          </cell>
        </row>
        <row r="2847">
          <cell r="A2847">
            <v>75889</v>
          </cell>
          <cell r="B2847" t="str">
            <v>PINTURA PARA TELHAS DE ALUMINIO COM TINTA ESMALTE AUTOMOTIVA</v>
          </cell>
          <cell r="C2847" t="str">
            <v>M2</v>
          </cell>
          <cell r="D2847">
            <v>12.06</v>
          </cell>
        </row>
        <row r="2848">
          <cell r="A2848">
            <v>84667</v>
          </cell>
          <cell r="B2848" t="str">
            <v>PINTURA ACRILICA EM TELHA DE FIBROCIMENTO, DUAS DEMAOS, INCLUSO FUNDO PREPARADOR</v>
          </cell>
          <cell r="C2848" t="str">
            <v>M2</v>
          </cell>
          <cell r="D2848">
            <v>13.78</v>
          </cell>
        </row>
        <row r="2849">
          <cell r="A2849">
            <v>84669</v>
          </cell>
          <cell r="B2849" t="str">
            <v>PINTURA ACRILICA EM TELHAS CERAMICAS, DUAS DEMAOS</v>
          </cell>
          <cell r="C2849" t="str">
            <v>M2</v>
          </cell>
          <cell r="D2849">
            <v>10.050000000000001</v>
          </cell>
        </row>
        <row r="2850">
          <cell r="A2850">
            <v>84670</v>
          </cell>
          <cell r="B2850" t="str">
            <v>PINTURA ACRILICA EM TELHAS CERAMICAS, TRES DEMAOS</v>
          </cell>
          <cell r="C2850" t="str">
            <v>M2</v>
          </cell>
          <cell r="D2850">
            <v>13.44</v>
          </cell>
        </row>
        <row r="2851">
          <cell r="A2851">
            <v>73465</v>
          </cell>
          <cell r="B2851" t="str">
            <v>PISO CIMENTADO E=1,5CM C/ARGAMASSA 1:3 CIMENTO AREIA ALISADO COLHER   SOBRE BASE EXISTENTE.</v>
          </cell>
          <cell r="C2851" t="str">
            <v>M2</v>
          </cell>
          <cell r="D2851">
            <v>20.48</v>
          </cell>
        </row>
        <row r="2852">
          <cell r="A2852">
            <v>73675</v>
          </cell>
          <cell r="B2852" t="str">
            <v>PISO DE CONCRETO ACABAMENTO RÚSTICO ESPESSURA 7CM COM JUNTAS EM MADEIRA</v>
          </cell>
          <cell r="C2852" t="str">
            <v>M2</v>
          </cell>
          <cell r="D2852">
            <v>46.45</v>
          </cell>
        </row>
        <row r="2853">
          <cell r="A2853">
            <v>73676</v>
          </cell>
          <cell r="B2853" t="str">
            <v>PISO CIMENTADO TRAÇO 1:3 (CIMENTO E AREIA) ACABAMENTO LISO PIGMENTADO ESPESSURA 1,5CM COM JUNTAS PLASTICAS DE DILATACAO E ARGAMASSA EM PREPARO MANUAL</v>
          </cell>
          <cell r="C2853" t="str">
            <v>M2</v>
          </cell>
          <cell r="D2853">
            <v>34.92</v>
          </cell>
        </row>
        <row r="2854">
          <cell r="A2854" t="str">
            <v>73922/1</v>
          </cell>
          <cell r="B2854" t="str">
            <v>PISO CIMENTADO TRACO 1:3 (CIMENTO E AREIA) ACABAMENTO LISO ESPESSURA 3,5CM, PREPARO MANUAL DA ARGAMASSA</v>
          </cell>
          <cell r="C2854" t="str">
            <v>M2</v>
          </cell>
          <cell r="D2854">
            <v>32.99</v>
          </cell>
        </row>
        <row r="2855">
          <cell r="A2855" t="str">
            <v>73922/2</v>
          </cell>
          <cell r="B2855" t="str">
            <v>PISO CIMENTADO TRACO 1:4 (CIMENTO E AREIA) ACABAMENTO LISO ESPESSURA 2,5CM PREPARO MANUAL DA ARGAMASSA</v>
          </cell>
          <cell r="C2855" t="str">
            <v>M2</v>
          </cell>
          <cell r="D2855">
            <v>28.28</v>
          </cell>
        </row>
        <row r="2856">
          <cell r="A2856" t="str">
            <v>73922/3</v>
          </cell>
          <cell r="B2856" t="str">
            <v>PISO CIMENTADO TRACO 1:3 (CIMENTO E AREIA) ACABAMENTO LISO ESPESSURA 2,0CM, PREPARO MANUAL DA ARGAMASSA</v>
          </cell>
          <cell r="C2856" t="str">
            <v>M2</v>
          </cell>
          <cell r="D2856">
            <v>27.55</v>
          </cell>
        </row>
        <row r="2857">
          <cell r="A2857" t="str">
            <v>73922/4</v>
          </cell>
          <cell r="B2857" t="str">
            <v>PISO CIMENTADO TRACO 1:4 (CIMENTO E AREIA) ACABAMENTO LISO ESPESSURA 2,0CM, PREPARO MANUAL DA ARGAMASSA</v>
          </cell>
          <cell r="C2857" t="str">
            <v>M2</v>
          </cell>
          <cell r="D2857">
            <v>26.68</v>
          </cell>
        </row>
        <row r="2858">
          <cell r="A2858" t="str">
            <v>73922/5</v>
          </cell>
          <cell r="B2858" t="str">
            <v>PISO CIMENTADO TRACO 1:3 (CIMENTO E AREIA) ACABAMENTO LISO ESPESSURA 3,0CM, PREPARO MANUAL DA ARGAMASSA</v>
          </cell>
          <cell r="C2858" t="str">
            <v>M2</v>
          </cell>
          <cell r="D2858">
            <v>31.18</v>
          </cell>
        </row>
        <row r="2859">
          <cell r="A2859" t="str">
            <v>73923/1</v>
          </cell>
          <cell r="B2859" t="str">
            <v>PISO CIMENTADO TRACO 1:4 (CIMENTO E AREIA) ACABAMENTO RUSTICO ESPESSURA 2CM, ARGAMASSA COM PREPARO MANUAL</v>
          </cell>
          <cell r="C2859" t="str">
            <v>M2</v>
          </cell>
          <cell r="D2859">
            <v>23.64</v>
          </cell>
        </row>
        <row r="2860">
          <cell r="A2860" t="str">
            <v>73923/2</v>
          </cell>
          <cell r="B2860" t="str">
            <v>PISO CIMENTADO TRACO 1:4 (CIMENTO E AREIA), COM ACABAMENTO RUSTICO ESPESSURA 3CM, PREPARO MANUAL</v>
          </cell>
          <cell r="C2860" t="str">
            <v>M2</v>
          </cell>
          <cell r="D2860">
            <v>26.83</v>
          </cell>
        </row>
        <row r="2861">
          <cell r="A2861" t="str">
            <v>73923/3</v>
          </cell>
          <cell r="B2861" t="str">
            <v>PISO CIMENTADO TRACO 1:3 (CIMENTO E AREIA), COM ACABAMENTO RUSTICO E FRISADO ESPESSURA 2CM, PREPARO MANUAL</v>
          </cell>
          <cell r="C2861" t="str">
            <v>M2</v>
          </cell>
          <cell r="D2861">
            <v>27.55</v>
          </cell>
        </row>
        <row r="2862">
          <cell r="A2862" t="str">
            <v>73974/1</v>
          </cell>
          <cell r="B2862" t="str">
            <v>PISO CIMENTADO TRACO 1:3 (CIMENTO E AREIA) ACABAMENTO RUSTICO ESPESSURA 2CM, PREPARO MECANICO DA ARGAMASSA</v>
          </cell>
          <cell r="C2862" t="str">
            <v>M2</v>
          </cell>
          <cell r="D2862">
            <v>23.49</v>
          </cell>
        </row>
        <row r="2863">
          <cell r="A2863" t="str">
            <v>73991/1</v>
          </cell>
          <cell r="B2863" t="str">
            <v>PISO CIMENTADO TRACO 1:4 (CIMENTO E AREIA) COM ACABAMENTO LISO ESPESSURA 1,5CM, PREPARO MANUAL DA ARGAMASSA  INCLUSO ADITIVO IMPERMEABILIZANTE</v>
          </cell>
          <cell r="C2863" t="str">
            <v>M2</v>
          </cell>
          <cell r="D2863">
            <v>26.9</v>
          </cell>
        </row>
        <row r="2864">
          <cell r="A2864" t="str">
            <v>73991/2</v>
          </cell>
          <cell r="B2864" t="str">
            <v>PISO CIMENTADO TRACO 1:3 (CIMENTO E AREIA) COM ACABAMENTO LISO ESPESSURA 1,5CM PREPARO MANUAL DA ARGAMASSA</v>
          </cell>
          <cell r="C2864" t="str">
            <v>M2</v>
          </cell>
          <cell r="D2864">
            <v>25.74</v>
          </cell>
        </row>
        <row r="2865">
          <cell r="A2865" t="str">
            <v>73991/3</v>
          </cell>
          <cell r="B2865" t="str">
            <v>PISO CIMENTADO TRACO 1:3 (CIMENTO E AREIA) COM ACABAMENTO LISO ESPESSURA 3CM PREPARO MECANICO ARGAMASSA  INCLUSO ADITIVO IMPERMEABILIZANTE</v>
          </cell>
          <cell r="C2865" t="str">
            <v>M2</v>
          </cell>
          <cell r="D2865">
            <v>32.479999999999997</v>
          </cell>
        </row>
        <row r="2866">
          <cell r="A2866" t="str">
            <v>73991/4</v>
          </cell>
          <cell r="B2866" t="str">
            <v>PISO CIMENTADO TRACO 1:3 (CIMENTO E AREIA) COM ACABAMENTO LISO ESPESSURA 1,5CM, PREPARO MANUAL DA ARGAMASSA INCLUSO ADITIVO IMPERMEABILIZANTE</v>
          </cell>
          <cell r="C2866" t="str">
            <v>M2</v>
          </cell>
          <cell r="D2866">
            <v>24.1</v>
          </cell>
        </row>
        <row r="2867">
          <cell r="A2867" t="str">
            <v>74079/1</v>
          </cell>
          <cell r="B2867" t="str">
            <v>PISO CIMENTADO TRACO 1:4 (CIMENTO E AREIA) COM ACABAMENTO LISO  ESPESSURA 2,0CM COM JUNTAS PLASTICAS DE DILATACAO E PREPARO MANUAL DA ARGAMASSA</v>
          </cell>
          <cell r="C2867" t="str">
            <v>M2</v>
          </cell>
          <cell r="D2867">
            <v>36.76</v>
          </cell>
        </row>
        <row r="2868">
          <cell r="A2868" t="str">
            <v>74079/2</v>
          </cell>
          <cell r="B2868" t="str">
            <v>PISO CIMENTADO TRAÇO 1:3 (CIMENTO E AREIA) ACABAMENTO LISO ESPESSURA 2CM COM JUNTA BATIDA E PREPARO MANUAL DA ARGAMASSA</v>
          </cell>
          <cell r="C2868" t="str">
            <v>M2</v>
          </cell>
          <cell r="D2868">
            <v>34.659999999999997</v>
          </cell>
        </row>
        <row r="2869">
          <cell r="A2869" t="str">
            <v>76447/1</v>
          </cell>
          <cell r="B2869" t="str">
            <v>PISO CIMENTADO TRACO 1:3 (CIMENTO E AREIA) ACABAMENTO LISO ESPESSURA 2,5 CM PREPARO MECANICO DA ARGAMASSA</v>
          </cell>
          <cell r="C2869" t="str">
            <v>M2</v>
          </cell>
          <cell r="D2869">
            <v>26.84</v>
          </cell>
        </row>
        <row r="2870">
          <cell r="A2870" t="str">
            <v>76448/1</v>
          </cell>
          <cell r="B2870" t="str">
            <v>PISO CIMENTADO TRACO 1:4 (CIMENTO E AREIA) ACABAMENTO RUSTICO ESPESSURA 1,5 CM PREPARO MANUAL DA ARGAMASSA</v>
          </cell>
          <cell r="C2870" t="str">
            <v>M2</v>
          </cell>
          <cell r="D2870">
            <v>22.04</v>
          </cell>
        </row>
        <row r="2871">
          <cell r="A2871" t="str">
            <v>76448/2</v>
          </cell>
          <cell r="B2871" t="str">
            <v>PISO CIMENTADO TRAÇO 1:4 (CIMENTO E AREIA) ACABAMENTO RUSTICO ESPESSURA 3,5 CM PREPARO MANUAL DA ARGAMASSA</v>
          </cell>
          <cell r="C2871" t="str">
            <v>M2</v>
          </cell>
          <cell r="D2871">
            <v>28.42</v>
          </cell>
        </row>
        <row r="2872">
          <cell r="A2872" t="str">
            <v>76448/3</v>
          </cell>
          <cell r="B2872" t="str">
            <v>PISO CIMENTADO TRAÇO 1:4 (CIMENTO E AREIA) ACABAMENTO RUSTICO ESPESSURA 2,5 CM PREPARO MANUAL DA ARGAMASSA</v>
          </cell>
          <cell r="C2872" t="str">
            <v>M2</v>
          </cell>
          <cell r="D2872">
            <v>25.23</v>
          </cell>
        </row>
        <row r="2873">
          <cell r="A2873">
            <v>84172</v>
          </cell>
          <cell r="B2873" t="str">
            <v>PISO CIMENTADO TRACO 1:3 (CIMENTO E AREIA) ACABAMENTO RUSTICO ESPESSURA 2 CM COM JUNTAS PLASTICAS DE DILATACAO, PREPARO MANUAL DA ARGAMASSA</v>
          </cell>
          <cell r="C2873" t="str">
            <v>M2</v>
          </cell>
          <cell r="D2873">
            <v>28.01</v>
          </cell>
        </row>
        <row r="2874">
          <cell r="A2874">
            <v>84173</v>
          </cell>
          <cell r="B2874" t="str">
            <v>PISO CIMENTADO TRACO 1:3 (CIMENTO/AREIA) ACABAMENTO LISO PREPARO MANUAL DA ARGAMASSA INCLUSO ADITIVO IMPERMEABILIZANTE</v>
          </cell>
          <cell r="C2874" t="str">
            <v>M2</v>
          </cell>
          <cell r="D2874">
            <v>29.96</v>
          </cell>
        </row>
        <row r="2875">
          <cell r="A2875">
            <v>84174</v>
          </cell>
          <cell r="B2875" t="str">
            <v>PISO CIMENTADO TRACO 1:3 (CIMENTO E AREIA) COM ACABAMENTO LISO ESPESSURA 3CM COM JUNTAS DE MADEIRA, PREPARO MANUAL DA ARGAMASSA INCLUSO ADITIVO IMPERMEABILIZANTE</v>
          </cell>
          <cell r="C2875" t="str">
            <v>M2</v>
          </cell>
          <cell r="D2875">
            <v>43.31</v>
          </cell>
        </row>
        <row r="2876">
          <cell r="A2876">
            <v>72191</v>
          </cell>
          <cell r="B2876" t="str">
            <v>RECOLOCACAO DE TACOS DE MADEIRA COM REAPROVEITAMENTO DE MATERIAL E ASSENTAMENTO COM ARGAMASSA 1:4 (CIMENTO E AREIA)</v>
          </cell>
          <cell r="C2876" t="str">
            <v>M2</v>
          </cell>
          <cell r="D2876">
            <v>44.9</v>
          </cell>
        </row>
        <row r="2877">
          <cell r="A2877">
            <v>72192</v>
          </cell>
          <cell r="B2877" t="str">
            <v>RECOLOCACAO DE PISO DE TABUAS DE MADEIRA, CONSIDERANDO REAPROVEITAMENTO DO MATERIAL</v>
          </cell>
          <cell r="C2877" t="str">
            <v>M2</v>
          </cell>
          <cell r="D2877">
            <v>11.52</v>
          </cell>
        </row>
        <row r="2878">
          <cell r="A2878">
            <v>72193</v>
          </cell>
          <cell r="B2878" t="str">
            <v>RECOLOCACAO DE PISO DE TABUAS DE MADEIRA, CONSIDERANDO REAPROVEITAMENTO DO MATERIAL</v>
          </cell>
          <cell r="C2878" t="str">
            <v>M2</v>
          </cell>
          <cell r="D2878">
            <v>31.67</v>
          </cell>
        </row>
        <row r="2879">
          <cell r="A2879">
            <v>73655</v>
          </cell>
          <cell r="B2879" t="str">
            <v>PISO EM TABUA CORRIDA DE MADEIRA ESPESSURA 2,5CM FIXADO EM PECAS DE MADEIRA E ASSENTADO EM ARGAMASSA TRACO 1:4 (CIMENTO/AREIA)</v>
          </cell>
          <cell r="C2879" t="str">
            <v>M2</v>
          </cell>
          <cell r="D2879">
            <v>123.03</v>
          </cell>
        </row>
        <row r="2880">
          <cell r="A2880" t="str">
            <v>73734/1</v>
          </cell>
          <cell r="B2880" t="str">
            <v>PISO EM TACO DE MADEIRA 7X21CM, ASSENTADO COM ARGAMASSA TRACO 1:4 (CIMENTO E AREIA MEDIA)</v>
          </cell>
          <cell r="C2880" t="str">
            <v>M2</v>
          </cell>
          <cell r="D2880">
            <v>103.21</v>
          </cell>
        </row>
        <row r="2881">
          <cell r="A2881">
            <v>84181</v>
          </cell>
          <cell r="B2881" t="str">
            <v>PISO EM TACO DE MADEIRA 7X21CM, FIXADO COM COLA BASE DE PVA</v>
          </cell>
          <cell r="C2881" t="str">
            <v>M2</v>
          </cell>
          <cell r="D2881">
            <v>85.63</v>
          </cell>
        </row>
        <row r="2882">
          <cell r="A2882">
            <v>84182</v>
          </cell>
          <cell r="B2882" t="str">
            <v>PISO PARQUET DE MADEIRA DE LEI FIXADO COM COLA BASE DE PVA</v>
          </cell>
          <cell r="C2882" t="str">
            <v>M2</v>
          </cell>
          <cell r="D2882">
            <v>108.96</v>
          </cell>
        </row>
        <row r="2883">
          <cell r="A2883">
            <v>6060</v>
          </cell>
          <cell r="B2883" t="str">
            <v>PISO CERAMICO PADRAO MEDIO PEI 4 ASSENTADO SOBRE ARGAMASSA DE CIMENTO COLANTE REJUNTADO COM CIMENTO BRANCO.</v>
          </cell>
          <cell r="C2883" t="str">
            <v>M2</v>
          </cell>
          <cell r="D2883">
            <v>31.49</v>
          </cell>
        </row>
        <row r="2884">
          <cell r="A2884">
            <v>73629</v>
          </cell>
          <cell r="B2884" t="str">
            <v>PISO EM LADRILHO HIDRAULICO 20X20CM ASSENTADO SOBRE ARGAMASSA DE CIMENTO COLANTE REJUNTADO COM CIMENTO COMUM</v>
          </cell>
          <cell r="C2884" t="str">
            <v>M2</v>
          </cell>
          <cell r="D2884">
            <v>47.02</v>
          </cell>
        </row>
        <row r="2885">
          <cell r="A2885" t="str">
            <v>73829/1</v>
          </cell>
          <cell r="B2885" t="str">
            <v>PISO CERAMICO PADRAO MEDIO PEI 5 ASSENTADO SOBRE ARGAMASSA 1:4 (CIMENTO E AREIA) E REJUNTADO COM CIMENTO BRANCO</v>
          </cell>
          <cell r="C2885" t="str">
            <v>M2</v>
          </cell>
          <cell r="D2885">
            <v>49.59</v>
          </cell>
        </row>
        <row r="2886">
          <cell r="A2886" t="str">
            <v>73946/1</v>
          </cell>
          <cell r="B2886" t="str">
            <v>PISO CERAMICO PADRAO POPULAR PEI 4 ASSENTADO SOBRE ARGAMASSA DE CIMENTO COLANTE REJUNTADO COM CIMENTO BRANCO</v>
          </cell>
          <cell r="C2886" t="str">
            <v>M2</v>
          </cell>
          <cell r="D2886">
            <v>29.05</v>
          </cell>
        </row>
        <row r="2887">
          <cell r="A2887" t="str">
            <v>74108/1</v>
          </cell>
          <cell r="B2887" t="str">
            <v>PISO CERAMICO PEI 4 ASSENTADO SOBRE ARGAMASSA 1:4 (CIMENTO E AREIA) REJUNTADO COM CIMENTO COMUM</v>
          </cell>
          <cell r="C2887" t="str">
            <v>M2</v>
          </cell>
          <cell r="D2887">
            <v>41.4</v>
          </cell>
        </row>
        <row r="2888">
          <cell r="A2888">
            <v>84164</v>
          </cell>
          <cell r="B2888" t="str">
            <v>PISO DE PASTILHA FOSCA 1X1" ASSENTADO SOBRE ARGAMASSA 1:2:2 (CIMENTO/AREIA/SAIBRO)</v>
          </cell>
          <cell r="C2888" t="str">
            <v>M2</v>
          </cell>
          <cell r="D2888">
            <v>111.8</v>
          </cell>
        </row>
        <row r="2889">
          <cell r="A2889">
            <v>84166</v>
          </cell>
          <cell r="B2889" t="str">
            <v>PISO EM LADRILHO ANTIDERRAPANTE ASSENTADO SOBRE ARGAMASSA 1:3 (CIMENTO E AREIA) REJUNTADO COM CIMENTO BRANCO E CORANTE</v>
          </cell>
          <cell r="C2889" t="str">
            <v>M2</v>
          </cell>
          <cell r="D2889">
            <v>59.1</v>
          </cell>
        </row>
        <row r="2890">
          <cell r="A2890">
            <v>84203</v>
          </cell>
          <cell r="B2890" t="str">
            <v>PISO PORCELANATO ASSENTADO SOBRE ARGAMASSA DE CIMENTO COLANTE E REJUNTADO COM CIMENTO BRANCO</v>
          </cell>
          <cell r="C2890" t="str">
            <v>M2</v>
          </cell>
          <cell r="D2890">
            <v>138.44</v>
          </cell>
        </row>
        <row r="2891">
          <cell r="A2891">
            <v>84169</v>
          </cell>
          <cell r="B2891" t="str">
            <v>PISO EM LADRILHO HIDRAULICO 20X20 CM ASSENTADO SOBRE ARGAMASSA 1:3 (CIMENTO E AREIA) REJUNTADO COM CIMENTO BRANCO</v>
          </cell>
          <cell r="C2891" t="str">
            <v>M2</v>
          </cell>
          <cell r="D2891">
            <v>61.21</v>
          </cell>
        </row>
        <row r="2892">
          <cell r="A2892" t="str">
            <v>73743/1</v>
          </cell>
          <cell r="B2892" t="str">
            <v>PISO EM PEDRA SÃO TOME ASSENTADO SOBRE ARGAMASSA 1:3 (CIMENTO E AREIA) REJUNTADO COM CIMENTO BRANCO</v>
          </cell>
          <cell r="C2892" t="str">
            <v>M2</v>
          </cell>
          <cell r="D2892">
            <v>88.31</v>
          </cell>
        </row>
        <row r="2893">
          <cell r="A2893" t="str">
            <v>73818/1</v>
          </cell>
          <cell r="B2893" t="str">
            <v>PAVIMENTACAO EM PEDRISCO, ESPESSURA 5CM</v>
          </cell>
          <cell r="C2893" t="str">
            <v>M2</v>
          </cell>
          <cell r="D2893">
            <v>4.55</v>
          </cell>
        </row>
        <row r="2894">
          <cell r="A2894" t="str">
            <v>73921/1</v>
          </cell>
          <cell r="B2894" t="str">
            <v>PISO EM PEDRA PORTUGUESA ASSENTADO SOBRE BASE DE SAIBRO, REJUNTADO COM CIMENTO BRANCO</v>
          </cell>
          <cell r="C2894" t="str">
            <v>M2</v>
          </cell>
          <cell r="D2894">
            <v>53.77</v>
          </cell>
        </row>
        <row r="2895">
          <cell r="A2895" t="str">
            <v>73921/2</v>
          </cell>
          <cell r="B2895" t="str">
            <v>PISO EM PEDRA ARDOSIA ASSENTADO SOBRE ARGAMASSA COLANTE REJUNTADO COM CIMENTO COMUM</v>
          </cell>
          <cell r="C2895" t="str">
            <v>M2</v>
          </cell>
          <cell r="D2895">
            <v>22.37</v>
          </cell>
        </row>
        <row r="2896">
          <cell r="A2896" t="str">
            <v>73957/1</v>
          </cell>
          <cell r="B2896" t="str">
            <v>RECOMPOSICAO DE PISO EM PEDRA PORTUGUESA, ASSENTADA SOBRE ARGAMASSA TRACO 1:5 (CIMENTO E SAIBRO), REJUNTADO COM CIMENTO COMUM, COM APROVEITAMENTO DA PEDRA</v>
          </cell>
          <cell r="C2896" t="str">
            <v>M2</v>
          </cell>
          <cell r="D2896">
            <v>33.44</v>
          </cell>
        </row>
        <row r="2897">
          <cell r="A2897" t="str">
            <v>74160/1</v>
          </cell>
          <cell r="B2897" t="str">
            <v>PISO EM PEDRA ARDOSIA IRREGULAR ASSENTADO SOBRE ARGAMASSA TRACO 1:0,5:5 (CIMENTO, CAL E AREIA), REJUNTADO COM CIMENTO BRANCO</v>
          </cell>
          <cell r="C2897" t="str">
            <v>M2</v>
          </cell>
          <cell r="D2897">
            <v>25.14</v>
          </cell>
        </row>
        <row r="2898">
          <cell r="A2898" t="str">
            <v>74235/1</v>
          </cell>
          <cell r="B2898" t="str">
            <v>PISO EM PEDRA PORTUGUESA ASSENTADO SOBRE ARGAMASSA TRACO 1:5 (CIMENTO E SAIBRO), REJUNTADO COM CIMENTO COMUM</v>
          </cell>
          <cell r="C2898" t="str">
            <v>M2</v>
          </cell>
          <cell r="D2898">
            <v>60.82</v>
          </cell>
        </row>
        <row r="2899">
          <cell r="A2899">
            <v>84183</v>
          </cell>
          <cell r="B2899" t="str">
            <v>PISO EM PEDRA PORTUGUESA ASSENTADO SOBRE BASE DE AREIA, REJUNTADO COM CIMENTO COMUM</v>
          </cell>
          <cell r="C2899" t="str">
            <v>M2</v>
          </cell>
          <cell r="D2899">
            <v>42.8</v>
          </cell>
        </row>
        <row r="2900">
          <cell r="A2900">
            <v>72185</v>
          </cell>
          <cell r="B2900" t="str">
            <v>PISO VINILICO SEMIFLEXIVEL PADRAO LISO, ESPESSURA 2MM, FIXADO COM COLA</v>
          </cell>
          <cell r="C2900" t="str">
            <v>M2</v>
          </cell>
          <cell r="D2900">
            <v>50.24</v>
          </cell>
        </row>
        <row r="2901">
          <cell r="A2901">
            <v>72186</v>
          </cell>
          <cell r="B2901" t="str">
            <v>PISO VINILICO SEMIFLEXIVEL PADRAO LISO, ESPESSURA 3,2MM, FIXADO COM COLA</v>
          </cell>
          <cell r="C2901" t="str">
            <v>M2</v>
          </cell>
          <cell r="D2901">
            <v>80.930000000000007</v>
          </cell>
        </row>
        <row r="2902">
          <cell r="A2902">
            <v>72187</v>
          </cell>
          <cell r="B2902" t="str">
            <v>PISO DE BORRACHA FRISADO, ESPESSURA 7MM, ASSENTADO COM ARGAMASSA TRACO 1:3 (CIMENTO E AREIA)</v>
          </cell>
          <cell r="C2902" t="str">
            <v>M2</v>
          </cell>
          <cell r="D2902">
            <v>142.55000000000001</v>
          </cell>
        </row>
        <row r="2903">
          <cell r="A2903">
            <v>72188</v>
          </cell>
          <cell r="B2903" t="str">
            <v>PISO DE BORRACHA PASTILHADO, ESPESSURA 7MM, ASSENTADO COM ARGAMASSA TRACO 1:3 (CIMENTO E AREIA)</v>
          </cell>
          <cell r="C2903" t="str">
            <v>M2</v>
          </cell>
          <cell r="D2903">
            <v>142.02000000000001</v>
          </cell>
        </row>
        <row r="2904">
          <cell r="A2904" t="str">
            <v>73876/1</v>
          </cell>
          <cell r="B2904" t="str">
            <v>PISO DE BORRACHA PASTILHADO, ESPESSURA 7MM, FIXADO COM COLA</v>
          </cell>
          <cell r="C2904" t="str">
            <v>M2</v>
          </cell>
          <cell r="D2904">
            <v>134.53</v>
          </cell>
        </row>
        <row r="2905">
          <cell r="A2905">
            <v>84186</v>
          </cell>
          <cell r="B2905" t="str">
            <v>PISO DE BORRACHA CANELADA, ESPESSURA 3,5MM, FIXADO COM COLA</v>
          </cell>
          <cell r="C2905" t="str">
            <v>M2</v>
          </cell>
          <cell r="D2905">
            <v>70.16</v>
          </cell>
        </row>
        <row r="2906">
          <cell r="A2906">
            <v>84187</v>
          </cell>
          <cell r="B2906" t="str">
            <v>ASSENTAMENTO DE PISO DE BORRACHA PASTILHADA FIXADO COM COLA</v>
          </cell>
          <cell r="C2906" t="str">
            <v>M2</v>
          </cell>
          <cell r="D2906">
            <v>12.59</v>
          </cell>
        </row>
        <row r="2907">
          <cell r="A2907">
            <v>84188</v>
          </cell>
          <cell r="B2907" t="str">
            <v>TESTEIRA OU RODAPE VINILICO 6CM FIXADO COM COLA</v>
          </cell>
          <cell r="C2907" t="str">
            <v>M</v>
          </cell>
          <cell r="D2907">
            <v>18.72</v>
          </cell>
        </row>
        <row r="2908">
          <cell r="A2908">
            <v>72136</v>
          </cell>
          <cell r="B2908" t="str">
            <v>PISO INDUSTRIAL DE ALTA RESISTENCIA, ESPESSURA 8MM, INCLUSO JUNTAS DE DILATACAO PLASTICAS E POLIMENTO MECANIZADO</v>
          </cell>
          <cell r="C2908" t="str">
            <v>M2</v>
          </cell>
          <cell r="D2908">
            <v>58.79</v>
          </cell>
        </row>
        <row r="2909">
          <cell r="A2909">
            <v>72137</v>
          </cell>
          <cell r="B2909" t="str">
            <v>PISO INDUSTRIAL ALTA RESISTENCIA, ESPESSURA 12MM, INCLUSO JUNTAS DE DILATACAO PLASTICAS E POLIMENTO MECANIZADO</v>
          </cell>
          <cell r="C2909" t="str">
            <v>M2</v>
          </cell>
          <cell r="D2909">
            <v>70.040000000000006</v>
          </cell>
        </row>
        <row r="2910">
          <cell r="A2910">
            <v>72815</v>
          </cell>
          <cell r="B2910" t="str">
            <v>APLICACAO DE TINTA A BASE DE EPOXI SOBRE PISO</v>
          </cell>
          <cell r="C2910" t="str">
            <v>M2</v>
          </cell>
          <cell r="D2910">
            <v>30.15</v>
          </cell>
        </row>
        <row r="2911">
          <cell r="A2911">
            <v>84191</v>
          </cell>
          <cell r="B2911" t="str">
            <v>PISO EM GRANILITE, MARMORITE OU GRANITINA ESPESSURA 8 MM, INCLUSO JUNTAS DE DILATACAO PLASTICAS</v>
          </cell>
          <cell r="C2911" t="str">
            <v>M2</v>
          </cell>
          <cell r="D2911">
            <v>49.99</v>
          </cell>
        </row>
        <row r="2912">
          <cell r="A2912">
            <v>72138</v>
          </cell>
          <cell r="B2912" t="str">
            <v>PISO EM GRANITO BRANCO 50X50CM LEVIGADO ESPESSURA 2CM, ASSENTADO COM ARGAMASSA COLANTE DUPLA COLAGEM, COM REJUNTAMENTO EM CIMENTO BRANCO</v>
          </cell>
          <cell r="C2912" t="str">
            <v>M2</v>
          </cell>
          <cell r="D2912">
            <v>359.33</v>
          </cell>
        </row>
        <row r="2913">
          <cell r="A2913">
            <v>84190</v>
          </cell>
          <cell r="B2913" t="str">
            <v>PISO GRANITO ASSENTADO SOBRE ARGAMASSA CIMENTO / CAL / AREIA TRACO 1:0,25:3 INCLUSIVE REJUNTE EM CIMENTO</v>
          </cell>
          <cell r="C2913" t="str">
            <v>M2</v>
          </cell>
          <cell r="D2913">
            <v>258.27999999999997</v>
          </cell>
        </row>
        <row r="2914">
          <cell r="A2914">
            <v>84193</v>
          </cell>
          <cell r="B2914" t="str">
            <v>ASSENTAMENTO DE PISO GRANITO/MARMORE SOBRE ARGAMASSA TRACO 1:2:2 (CIMENTO/AREIA/SAIBRO)</v>
          </cell>
          <cell r="C2914" t="str">
            <v>M2</v>
          </cell>
          <cell r="D2914">
            <v>15.12</v>
          </cell>
        </row>
        <row r="2915">
          <cell r="A2915">
            <v>84195</v>
          </cell>
          <cell r="B2915" t="str">
            <v>PISO MARMORE BRANCO ASSENTADO SOBRE ARGAMASSA TRACO 1:4 (CIMENTO/AREIA)</v>
          </cell>
          <cell r="C2915" t="str">
            <v>M2</v>
          </cell>
          <cell r="D2915">
            <v>290.3</v>
          </cell>
        </row>
        <row r="2916">
          <cell r="A2916">
            <v>84192</v>
          </cell>
          <cell r="B2916" t="str">
            <v>SOLEIRA CERAMICA PEI-4 LARGURA 15CM ASSENTADA SOBRE ARGAMASSA CIMENTO E AREIA TRACO 1:4</v>
          </cell>
          <cell r="C2916" t="str">
            <v>M</v>
          </cell>
          <cell r="D2916">
            <v>9.68</v>
          </cell>
        </row>
        <row r="2917">
          <cell r="A2917" t="str">
            <v>74159/1</v>
          </cell>
          <cell r="B2917" t="str">
            <v>SOLEIRA EM ARDOSIA LARGURA 15CM ASSENTADA COM ARGAMASSA DE CIMENTO E AREIA TRACO 1:4 REJUNTE EM CIMENTO BRANCO</v>
          </cell>
          <cell r="C2917" t="str">
            <v>M</v>
          </cell>
          <cell r="D2917">
            <v>8.6999999999999993</v>
          </cell>
        </row>
        <row r="2918">
          <cell r="A2918" t="str">
            <v>74192/1</v>
          </cell>
          <cell r="B2918" t="str">
            <v>SOLEIRA EM MARMORITE LARGURA 15CM SOBRE ARGAMASSA TRACO 1:4 (CIMENTO E AREIA)</v>
          </cell>
          <cell r="C2918" t="str">
            <v>M</v>
          </cell>
          <cell r="D2918">
            <v>34.130000000000003</v>
          </cell>
        </row>
        <row r="2919">
          <cell r="A2919">
            <v>84194</v>
          </cell>
          <cell r="B2919" t="str">
            <v>SOLEIRA DE CIMENTADO LISO LARGURA 15CM  EXECUTADA COM ARGAMASSA TRACO 1:3 (CIMENTO E AREIA)</v>
          </cell>
          <cell r="C2919" t="str">
            <v>M</v>
          </cell>
          <cell r="D2919">
            <v>7.37</v>
          </cell>
        </row>
        <row r="2920">
          <cell r="A2920" t="str">
            <v>74111/1</v>
          </cell>
          <cell r="B2920" t="str">
            <v>SOLEIRA DE MARMORE BRANCO, LARGURA 5CM, ESPESSURA 3CM, ASSENTADA COM ARGAMASSA COLANTE</v>
          </cell>
          <cell r="C2920" t="str">
            <v>M</v>
          </cell>
          <cell r="D2920">
            <v>66.33</v>
          </cell>
        </row>
        <row r="2921">
          <cell r="A2921">
            <v>84161</v>
          </cell>
          <cell r="B2921" t="str">
            <v>SOLEIRA DE MARMORE BRANCO, LARGURA 15CM, ESPESSURA 3CM, ASSENTADA SOBRE ARGAMASSA TRACO 1:4 (CIMENTO E AREIA)</v>
          </cell>
          <cell r="C2921" t="str">
            <v>M</v>
          </cell>
          <cell r="D2921">
            <v>43.04</v>
          </cell>
        </row>
        <row r="2922">
          <cell r="A2922">
            <v>72194</v>
          </cell>
          <cell r="B2922" t="str">
            <v>RECOLOCACAO DE RODAPE DE MADEIRA E CORDAO, CONSIDERANDO REAPROVEITAMENTO DO MATERIAL</v>
          </cell>
          <cell r="C2922" t="str">
            <v>M</v>
          </cell>
          <cell r="D2922">
            <v>3.08</v>
          </cell>
        </row>
        <row r="2923">
          <cell r="A2923" t="str">
            <v>73886/1</v>
          </cell>
          <cell r="B2923" t="str">
            <v>RODAPE EM MADEIRA, ALTURA 7CM, FIXADO EM PECAS DE MADEIRA</v>
          </cell>
          <cell r="C2923" t="str">
            <v>M</v>
          </cell>
          <cell r="D2923">
            <v>13.51</v>
          </cell>
        </row>
        <row r="2924">
          <cell r="A2924">
            <v>84162</v>
          </cell>
          <cell r="B2924" t="str">
            <v>RODAPE EM MADEIRA, ALTURA 7CM, FIXADO COM COLA</v>
          </cell>
          <cell r="C2924" t="str">
            <v>M</v>
          </cell>
          <cell r="D2924">
            <v>13.62</v>
          </cell>
        </row>
        <row r="2925">
          <cell r="A2925" t="str">
            <v>73985/1</v>
          </cell>
          <cell r="B2925" t="str">
            <v>RODAPE EM CERAMICA LINHA POPULAR PEI-4 ASSENTADO COM ARGAMASSA TRACO 1:0,25:3 (CIMENTO, CAL E AREIA) REJUNTE EM CIMENTO BRANCO</v>
          </cell>
          <cell r="C2925" t="str">
            <v>M</v>
          </cell>
          <cell r="D2925">
            <v>9.32</v>
          </cell>
        </row>
        <row r="2926">
          <cell r="A2926">
            <v>84163</v>
          </cell>
          <cell r="B2926" t="str">
            <v>RODAPE EM CERAMICA PADRAO MEDIO PEI-4 ASSENTADO COM ARGAMASSA TRACO 1:4 (CIMENTO E AREIA)</v>
          </cell>
          <cell r="C2926" t="str">
            <v>M</v>
          </cell>
          <cell r="D2926">
            <v>8.6999999999999993</v>
          </cell>
        </row>
        <row r="2927">
          <cell r="A2927">
            <v>84206</v>
          </cell>
          <cell r="B2927" t="str">
            <v>RODAPE EM CERAMICA PADRAO MEDIO PEI-4 ALTURA 8CM ASSENTADO SOBRE ARGAMASSA DE CIMENTO COLANTE REJUNTADO COM CIMENTO BRANCO</v>
          </cell>
          <cell r="C2927" t="str">
            <v>M</v>
          </cell>
          <cell r="D2927">
            <v>9.27</v>
          </cell>
        </row>
        <row r="2928">
          <cell r="A2928">
            <v>84208</v>
          </cell>
          <cell r="B2928" t="str">
            <v>RODAPE EM PORCELANATO ALTURA 8CM ASSENTADO SOBRE ARGAMASSA DE CIMENTO COLANTE REJUNTADO COM CIMENTO BRANCO</v>
          </cell>
          <cell r="C2928" t="str">
            <v>M</v>
          </cell>
          <cell r="D2928">
            <v>19.45</v>
          </cell>
        </row>
        <row r="2929">
          <cell r="A2929">
            <v>6123</v>
          </cell>
          <cell r="B2929" t="str">
            <v>RODAPE EM ARGAMASSA TRACO 1:2:8 (CIMENTO, CAL E AREIA) ALTURA 8CM</v>
          </cell>
          <cell r="C2929" t="str">
            <v>M</v>
          </cell>
          <cell r="D2929">
            <v>6.43</v>
          </cell>
        </row>
        <row r="2930">
          <cell r="A2930">
            <v>40904</v>
          </cell>
          <cell r="B2930" t="str">
            <v>RODAPE EM ARDOSIA ALTURA 8CM ASSENTADO COM ARGAMASSA TRACO 1:2:8 (CIMENTO, CAL E AREIA) REJUNTE EM CIMENTO BRANCO</v>
          </cell>
          <cell r="C2930" t="str">
            <v>ML</v>
          </cell>
          <cell r="D2930">
            <v>5.17</v>
          </cell>
        </row>
        <row r="2931">
          <cell r="A2931">
            <v>73630</v>
          </cell>
          <cell r="B2931" t="str">
            <v>RODAPE EM CONCRETO (CIMENTO, AREIA GROSSA E PEDRISCO), ALTURA 8CM</v>
          </cell>
          <cell r="C2931" t="str">
            <v>M</v>
          </cell>
          <cell r="D2931">
            <v>6.66</v>
          </cell>
        </row>
        <row r="2932">
          <cell r="A2932" t="str">
            <v>73742/1</v>
          </cell>
          <cell r="B2932" t="str">
            <v>RODAPE EM MARMORE BRANCO ASSENTADO COM ARGAMASSA TRACO 1:2:8 (CIMENTO, CAL E AREIA) ALTURA 7CM</v>
          </cell>
          <cell r="C2932" t="str">
            <v>M</v>
          </cell>
          <cell r="D2932">
            <v>44.73</v>
          </cell>
        </row>
        <row r="2933">
          <cell r="A2933" t="str">
            <v>73850/1</v>
          </cell>
          <cell r="B2933" t="str">
            <v>RODAPE EM MARMORITE, ALTURA 10CM</v>
          </cell>
          <cell r="C2933" t="str">
            <v>M</v>
          </cell>
          <cell r="D2933">
            <v>15.28</v>
          </cell>
        </row>
        <row r="2934">
          <cell r="A2934">
            <v>84165</v>
          </cell>
          <cell r="B2934" t="str">
            <v>RODAPE EM ARGAMASSA TRACO 1:3 (CIMENTO E AREIA) ALTURA 8CM</v>
          </cell>
          <cell r="C2934" t="str">
            <v>M</v>
          </cell>
          <cell r="D2934">
            <v>6.67</v>
          </cell>
        </row>
        <row r="2935">
          <cell r="A2935">
            <v>84167</v>
          </cell>
          <cell r="B2935" t="str">
            <v>RODAPE EM MARMORE BRANCO ASSENTADO COM ARGAMASSA TRACO 1:4 (CIMENTO E AREIA) ALTURA 7CM</v>
          </cell>
          <cell r="C2935" t="str">
            <v>M</v>
          </cell>
          <cell r="D2935">
            <v>48.89</v>
          </cell>
        </row>
        <row r="2936">
          <cell r="A2936">
            <v>84168</v>
          </cell>
          <cell r="B2936" t="str">
            <v>RODAPE EM ARDOSIA ASSENTADO COM ARGAMASSA TRACO 1:4 (CIMENTO E AREIA) ALTURA 10CM</v>
          </cell>
          <cell r="C2936" t="str">
            <v>M</v>
          </cell>
          <cell r="D2936">
            <v>7.97</v>
          </cell>
        </row>
        <row r="2937">
          <cell r="A2937">
            <v>68325</v>
          </cell>
          <cell r="B2937" t="str">
            <v>PISO EM CONCRETO 20 MPA PREPARO MECANICO, ESPESSURA 7CM, INCLUSO SELANTE ELASTICO A BASE DE POLIURETANO</v>
          </cell>
          <cell r="C2937" t="str">
            <v>M2</v>
          </cell>
          <cell r="D2937">
            <v>37.57</v>
          </cell>
        </row>
        <row r="2938">
          <cell r="A2938">
            <v>68333</v>
          </cell>
          <cell r="B2938" t="str">
            <v>PISO EM CONCRETO 20 MPA PREPARO MECANICO, ESPESSURA 7CM, INCLUSO JUNTAS DE DILATACAO EM MADEIRA</v>
          </cell>
          <cell r="C2938" t="str">
            <v>M2</v>
          </cell>
          <cell r="D2938">
            <v>35.49</v>
          </cell>
        </row>
        <row r="2939">
          <cell r="A2939">
            <v>72182</v>
          </cell>
          <cell r="B2939" t="str">
            <v>PISO EM CONCRETO 20 MPA PREPARO MECANICO, ESPESSURA 7CM, INCLUSO JUNTAS DE DILATACAO EM POLIURETANO 2X2M</v>
          </cell>
          <cell r="C2939" t="str">
            <v>M2</v>
          </cell>
          <cell r="D2939">
            <v>39</v>
          </cell>
        </row>
        <row r="2940">
          <cell r="A2940">
            <v>72183</v>
          </cell>
          <cell r="B2940" t="str">
            <v>PISO EM CONCRETO 20MPA PREPARO MECANICO, ESPESSURA 7 CM, COM ARMACAO EM TELA SOLDADA</v>
          </cell>
          <cell r="C2940" t="str">
            <v>M2</v>
          </cell>
          <cell r="D2940">
            <v>57.97</v>
          </cell>
        </row>
        <row r="2941">
          <cell r="A2941">
            <v>72195</v>
          </cell>
          <cell r="B2941" t="str">
            <v>PISO EM CONCRETO ESPESSURA 7CM, COM JUNTA EM GRAMA</v>
          </cell>
          <cell r="C2941" t="str">
            <v>M2</v>
          </cell>
          <cell r="D2941">
            <v>38.74</v>
          </cell>
        </row>
        <row r="2942">
          <cell r="A2942" t="str">
            <v>73892/1</v>
          </cell>
          <cell r="B2942" t="str">
            <v>EXECUÇÃO DE PASSEIO (CALÇADA) EM CONCRETO (CIMENTO/AREIA/SEIXO ROLADO), PREPARO MECÂNICO, ESPESSURA 7CM, COM JUNTA DE DILATAÇÃO EM MADEIRA, INCLUSO LANÇAMENTO E ADENSAMENTO</v>
          </cell>
          <cell r="C2942" t="str">
            <v>M2</v>
          </cell>
          <cell r="D2942">
            <v>28.4</v>
          </cell>
        </row>
        <row r="2943">
          <cell r="A2943" t="str">
            <v>73892/2</v>
          </cell>
          <cell r="B2943" t="str">
            <v>EXECUÇÃO DE PASSEIO (CALÇADA) EM CONCRETO 12 MPA, TRAÇO 1:3:5 (CIMENTO/AREIA/BRITA), PREPARO MECÂNICO, ESPESSURA 7CM, COM JUNTA DE DILATAÇÃO EM MADEIRA, INCLUSO LANÇAMENTO E ADENSAMENTO</v>
          </cell>
          <cell r="C2943" t="str">
            <v>M2</v>
          </cell>
          <cell r="D2943">
            <v>27.23</v>
          </cell>
        </row>
        <row r="2944">
          <cell r="A2944" t="str">
            <v>74147/1</v>
          </cell>
          <cell r="B2944" t="str">
            <v>PISO EM BLOCO SEXTAVADO 30X30CM, ESPESSURA 8CM, ASSENTADO SOBRE COLCHAO DE AREIA ESPESSURA 6CM</v>
          </cell>
          <cell r="C2944" t="str">
            <v>M2</v>
          </cell>
          <cell r="D2944">
            <v>47.25</v>
          </cell>
        </row>
        <row r="2945">
          <cell r="A2945">
            <v>84175</v>
          </cell>
          <cell r="B2945" t="str">
            <v>JUNTA 5X5CM COM ARGAMASSA TRACO 1:3 (CIMENTO E AREIA) PARA PISO EM PLACAS</v>
          </cell>
          <cell r="C2945" t="str">
            <v>M</v>
          </cell>
          <cell r="D2945">
            <v>6.93</v>
          </cell>
        </row>
        <row r="2946">
          <cell r="A2946">
            <v>84176</v>
          </cell>
          <cell r="B2946" t="str">
            <v>JUNTA 2,5X2,5CM COM ARGAMASSA 1:1:3 IMPERMEABILIZANTE DE HIDRO-ASFALTO CIMENTO E AREIA PARA PISO EM PLACAS</v>
          </cell>
          <cell r="C2946" t="str">
            <v>M</v>
          </cell>
          <cell r="D2946">
            <v>12.61</v>
          </cell>
        </row>
        <row r="2947">
          <cell r="A2947">
            <v>84177</v>
          </cell>
          <cell r="B2947" t="str">
            <v>JUNTA GRAMADA 5CM DE LARGURA</v>
          </cell>
          <cell r="C2947" t="str">
            <v>M</v>
          </cell>
          <cell r="D2947">
            <v>8.4600000000000009</v>
          </cell>
        </row>
        <row r="2948">
          <cell r="A2948">
            <v>84184</v>
          </cell>
          <cell r="B2948" t="str">
            <v>REPOSICAO DE BLOCOS DE CONCRETO HEXAGONAL, TIPO BLOKRET, SOBRE COXIM AREIA</v>
          </cell>
          <cell r="C2948" t="str">
            <v>M2</v>
          </cell>
          <cell r="D2948">
            <v>12.24</v>
          </cell>
        </row>
        <row r="2949">
          <cell r="A2949">
            <v>84212</v>
          </cell>
          <cell r="B2949" t="str">
            <v>PISO EM CONCRETO 20 MPA USINADO, ESPESSURA 7CM E JUNTAS SERRADAS 2X2M, INCLUSO POLIMENTO COM DESEMPENADEIRA ELETRICA</v>
          </cell>
          <cell r="C2949" t="str">
            <v>M2</v>
          </cell>
          <cell r="D2949">
            <v>34.17</v>
          </cell>
        </row>
        <row r="2950">
          <cell r="A2950">
            <v>84179</v>
          </cell>
          <cell r="B2950" t="str">
            <v>CARPETE NYLON ESPESSURA 6MM, COLOCADO SOBRE ARGAMASSA TRACO 1:4 (CIMENTO E AREIA)</v>
          </cell>
          <cell r="C2950" t="str">
            <v>M2</v>
          </cell>
          <cell r="D2950">
            <v>77.75</v>
          </cell>
        </row>
        <row r="2951">
          <cell r="A2951">
            <v>6051</v>
          </cell>
          <cell r="B2951" t="str">
            <v>REGULARIZACAO DE PISO/BASE EM ARGAMASSA TRACO 1:0,5:8(CIMENTO, CAL E AREIA), ESPESSURA 2,5CM, PREPARO MECANICO</v>
          </cell>
          <cell r="C2951" t="str">
            <v>M2</v>
          </cell>
          <cell r="D2951">
            <v>11.58</v>
          </cell>
        </row>
        <row r="2952">
          <cell r="A2952" t="str">
            <v>73920/1</v>
          </cell>
          <cell r="B2952" t="str">
            <v>REGULARIZACAO DE PISO/BASE EM ARGAMASSA TRACO 1:3 (CIMENTO E AREIA), ESPESSURA 2,0CM, PREPARO MANUAL</v>
          </cell>
          <cell r="C2952" t="str">
            <v>M2</v>
          </cell>
          <cell r="D2952">
            <v>11.31</v>
          </cell>
        </row>
        <row r="2953">
          <cell r="A2953" t="str">
            <v>73920/2</v>
          </cell>
          <cell r="B2953" t="str">
            <v>REGULARIZACAO DE PISO/BASE EM ARGAMASSA TRACO 1:3 (CIMENTO E AREIA), ESPESSURA 3,0CM, PREPARO MANUAL</v>
          </cell>
          <cell r="C2953" t="str">
            <v>M2</v>
          </cell>
          <cell r="D2953">
            <v>15.95</v>
          </cell>
        </row>
        <row r="2954">
          <cell r="A2954" t="str">
            <v>73920/3</v>
          </cell>
          <cell r="B2954" t="str">
            <v>REGULARIZACAO DE PISO/BASE EM ARGAMASSA TRACO 1:4 (CIMENTO E AREIA), ESPESSURA 3,0CM, PREPARO MANUAL</v>
          </cell>
          <cell r="C2954" t="str">
            <v>M2</v>
          </cell>
          <cell r="D2954">
            <v>14.64</v>
          </cell>
        </row>
        <row r="2955">
          <cell r="A2955" t="str">
            <v>73920/6</v>
          </cell>
          <cell r="B2955" t="str">
            <v>REGULARIZACAO DE PISO/BASE EM ARGAMASSA TRACO 1:4 (CIMENTO E AREIA), ESPESSURA 5,0CM, PREPARO MANUAL</v>
          </cell>
          <cell r="C2955" t="str">
            <v>M2</v>
          </cell>
          <cell r="D2955">
            <v>25.08</v>
          </cell>
        </row>
        <row r="2956">
          <cell r="A2956" t="str">
            <v>73977/1</v>
          </cell>
          <cell r="B2956" t="str">
            <v>REGULARIZACAO DE PISO/BASE EM ARGAMASSA TRACO 1:3 (CIMENTO E AREIA GROSSA SEM PENEIRAR), ESPESSURA 3,0CM, PREPARO MECANICO</v>
          </cell>
          <cell r="C2956" t="str">
            <v>M2</v>
          </cell>
          <cell r="D2956">
            <v>15.14</v>
          </cell>
        </row>
        <row r="2957">
          <cell r="A2957" t="str">
            <v>73977/2</v>
          </cell>
          <cell r="B2957" t="str">
            <v>REGULARIZACAO DE PISO/BASE EM ARGAMASSA TRACO 1:3 (CIMENTO E AREIA GROSSA SEM PENEIRAR), ESPESSURA 5,0CM, PREPARO MECANICO</v>
          </cell>
          <cell r="C2957" t="str">
            <v>M2</v>
          </cell>
          <cell r="D2957">
            <v>21.85</v>
          </cell>
        </row>
        <row r="2958">
          <cell r="A2958">
            <v>84170</v>
          </cell>
          <cell r="B2958" t="str">
            <v>LASTRO DE SEIXO ROLADO APILOADO</v>
          </cell>
          <cell r="C2958" t="str">
            <v>M3</v>
          </cell>
          <cell r="D2958">
            <v>112.87</v>
          </cell>
        </row>
        <row r="2959">
          <cell r="A2959">
            <v>84171</v>
          </cell>
          <cell r="B2959" t="str">
            <v>REGULARIZACAO PISO CIMENTO / AREIA 1:3 PREPARO MANUAL, INCLUSO ADITIVO IMPERMEABILIZANTE ESPESSURA 2CM</v>
          </cell>
          <cell r="C2959" t="str">
            <v>M2</v>
          </cell>
          <cell r="D2959">
            <v>12.55</v>
          </cell>
        </row>
        <row r="2960">
          <cell r="A2960" t="str">
            <v>73907/3</v>
          </cell>
          <cell r="B2960" t="str">
            <v>CONTRAPISO/LASTRO DE CONCRETO NAO-ESTRUTURAL, E=5CM, PREPARO COM BETONEIRA</v>
          </cell>
          <cell r="C2960" t="str">
            <v>M2</v>
          </cell>
          <cell r="D2960">
            <v>20.399999999999999</v>
          </cell>
        </row>
        <row r="2961">
          <cell r="A2961" t="str">
            <v>73907/6</v>
          </cell>
          <cell r="B2961" t="str">
            <v>LASTRO DE CONCRETO, ESPESSURA 3CM, PREPARO MECANICO</v>
          </cell>
          <cell r="C2961" t="str">
            <v>M2</v>
          </cell>
          <cell r="D2961">
            <v>13.42</v>
          </cell>
        </row>
        <row r="2962">
          <cell r="A2962" t="str">
            <v>73919/1</v>
          </cell>
          <cell r="B2962" t="str">
            <v>CONTRAPISO EM ARGAMASSA TRACO 1:4 (CIMENTO E AREIA), ESPESSURA 6CM, PREPARO MANUAL</v>
          </cell>
          <cell r="C2962" t="str">
            <v>M2</v>
          </cell>
          <cell r="D2962">
            <v>30.3</v>
          </cell>
        </row>
        <row r="2963">
          <cell r="A2963" t="str">
            <v>73919/2</v>
          </cell>
          <cell r="B2963" t="str">
            <v>CONTRAPISO EM ARGAMASSA TRACO 1:4 (CIMENTO E AREIA), ESPESSURA 5CM, PREPARO MANUAL</v>
          </cell>
          <cell r="C2963" t="str">
            <v>M2</v>
          </cell>
          <cell r="D2963">
            <v>25.08</v>
          </cell>
        </row>
        <row r="2964">
          <cell r="A2964" t="str">
            <v>73919/3</v>
          </cell>
          <cell r="B2964" t="str">
            <v>CONTRAPISO EM ARGAMASSA TRACO 1:4 (CIMENTO E AREIA), ESPESSURA 4CM, PREPARO MANUAL</v>
          </cell>
          <cell r="C2964" t="str">
            <v>M2</v>
          </cell>
          <cell r="D2964">
            <v>19.86</v>
          </cell>
        </row>
        <row r="2965">
          <cell r="A2965" t="str">
            <v>73919/4</v>
          </cell>
          <cell r="B2965" t="str">
            <v>CONTRAPISO EM ARGAMASSA TRACO 1:4 (CIMENTO E AREIA), ESPESSURA 7CM, PREPARO MANUAL</v>
          </cell>
          <cell r="C2965" t="str">
            <v>M2</v>
          </cell>
          <cell r="D2965">
            <v>33.49</v>
          </cell>
        </row>
        <row r="2966">
          <cell r="A2966" t="str">
            <v>73919/5</v>
          </cell>
          <cell r="B2966" t="str">
            <v>CONTRAPISO EM ARGAMASSA TRACO 1:3 (CIMENTO E AREIA), INTERNO SOBRE LAJE, ADERIDO, ESPESSURA 2,5CM, PREPARO MECANICO</v>
          </cell>
          <cell r="C2966" t="str">
            <v>M2</v>
          </cell>
          <cell r="D2966">
            <v>19.75</v>
          </cell>
        </row>
        <row r="2967">
          <cell r="A2967" t="str">
            <v>73919/6</v>
          </cell>
          <cell r="B2967" t="str">
            <v>CONTRAPISO EM ARGAMASSA TRACO 1:4 (CIMENTO E AREIA), INTERNO SOBRE LAJE, ADERIDO, ESPESSURA 2,5CM, PREPARO MECANICO</v>
          </cell>
          <cell r="C2967" t="str">
            <v>M2</v>
          </cell>
          <cell r="D2967">
            <v>18.510000000000002</v>
          </cell>
        </row>
        <row r="2968">
          <cell r="A2968" t="str">
            <v>73919/9</v>
          </cell>
          <cell r="B2968" t="str">
            <v>CONTRAPISO EM ARGAMASSA TRACO 1:4 (CIMENTO E AREIA), INTERNO SOBRE LAJE, NAO ADERIDO, ESPESSURA 3,5CM, PREPARO MECANICO</v>
          </cell>
          <cell r="C2968" t="str">
            <v>M2</v>
          </cell>
          <cell r="D2968">
            <v>24.38</v>
          </cell>
        </row>
        <row r="2969">
          <cell r="A2969" t="str">
            <v>73919/11</v>
          </cell>
          <cell r="B2969" t="str">
            <v>CONTRAPISO EM ARGAMASSA TRACO 1:6 (CIMENTO E AREIA), INTERNO SOBRE LAJE, NAO ADERIDO, ESPESSURA 3,5CM, PREPARO MECANICO</v>
          </cell>
          <cell r="C2969" t="str">
            <v>M2</v>
          </cell>
          <cell r="D2969">
            <v>21.06</v>
          </cell>
        </row>
        <row r="2970">
          <cell r="A2970" t="str">
            <v>74048/7</v>
          </cell>
          <cell r="B2970" t="str">
            <v>LASTRO DE CONCRETO, ESPESSURA 3 CM, PREPARO MECANICO, INCLUSO ADITIVO IMPERMEABILIZANTE</v>
          </cell>
          <cell r="C2970" t="str">
            <v>M2</v>
          </cell>
          <cell r="D2970">
            <v>17.03</v>
          </cell>
        </row>
        <row r="2971">
          <cell r="A2971">
            <v>84185</v>
          </cell>
          <cell r="B2971" t="str">
            <v>CONTRAPISO EM ARGAMASSA CIMENTO / AREIA / SAIBRO 1:2:2 ESPESSURA 3CM</v>
          </cell>
          <cell r="C2971" t="str">
            <v>M2</v>
          </cell>
          <cell r="D2971">
            <v>13.01</v>
          </cell>
        </row>
        <row r="2972">
          <cell r="A2972">
            <v>72189</v>
          </cell>
          <cell r="B2972" t="str">
            <v>RODAPE VINILICO ALTURA 5CM, ESPESSURA 1MM, FIXADO COM COLA</v>
          </cell>
          <cell r="C2972" t="str">
            <v>M</v>
          </cell>
          <cell r="D2972">
            <v>11.53</v>
          </cell>
        </row>
        <row r="2973">
          <cell r="A2973">
            <v>72190</v>
          </cell>
          <cell r="B2973" t="str">
            <v>RODAPE BORRACHA LISO, ALTURA 7CM, ESPESSURA 1MM, FIXADO COM COLA</v>
          </cell>
          <cell r="C2973" t="str">
            <v>M</v>
          </cell>
          <cell r="D2973">
            <v>17.88</v>
          </cell>
        </row>
        <row r="2974">
          <cell r="A2974">
            <v>5974</v>
          </cell>
          <cell r="B2974" t="str">
            <v>CHAPISCO TRACO 1:4 (CIMENTO E AREIA GROSSA), ESPESSURA 0,5CM, PREPARO MECANICO DA ARGAMASSA</v>
          </cell>
          <cell r="C2974" t="str">
            <v>M2</v>
          </cell>
          <cell r="D2974">
            <v>3.41</v>
          </cell>
        </row>
        <row r="2975">
          <cell r="A2975">
            <v>5975</v>
          </cell>
          <cell r="B2975" t="str">
            <v>CHAPISCO TRACO 1:3 (CIMENTO E AREIA MEDIA), ESPESSURA 0,5CM, PREPARO MECANICO DA ARGAMASSA</v>
          </cell>
          <cell r="C2975" t="str">
            <v>M2</v>
          </cell>
          <cell r="D2975">
            <v>4.25</v>
          </cell>
        </row>
        <row r="2976">
          <cell r="A2976" t="str">
            <v>73928/1</v>
          </cell>
          <cell r="B2976" t="str">
            <v>CHAPISCO TRACO 1:4 (CIMENTO E AREIA MEDIA), ESPESSURA 0,5CM, PREPARO MANUAL DA ARGAMASSA</v>
          </cell>
          <cell r="C2976" t="str">
            <v>M2</v>
          </cell>
          <cell r="D2976">
            <v>3.62</v>
          </cell>
        </row>
        <row r="2977">
          <cell r="A2977" t="str">
            <v>73928/2</v>
          </cell>
          <cell r="B2977" t="str">
            <v>CHAPISCO TRACO 1:3 (CIMENTO E AREIA MEDIA), ESPESSURA 0,5CM, PREPARO MANUAL DA ARGAMASSA</v>
          </cell>
          <cell r="C2977" t="str">
            <v>M2</v>
          </cell>
          <cell r="D2977">
            <v>3.84</v>
          </cell>
        </row>
        <row r="2978">
          <cell r="A2978" t="str">
            <v>73928/5</v>
          </cell>
          <cell r="B2978" t="str">
            <v>CHAPISCO TRACO 1:3 (CIMENTO E AREIA MEDIA), ESPESSURA 0,5CM, INCLUSO ADITIVO IMPERMEABILIZANTE, PREPARO MECANICO DA ARGAMASSA</v>
          </cell>
          <cell r="C2978" t="str">
            <v>M2</v>
          </cell>
          <cell r="D2978">
            <v>4.5599999999999996</v>
          </cell>
        </row>
        <row r="2979">
          <cell r="A2979" t="str">
            <v>73928/6</v>
          </cell>
          <cell r="B2979" t="str">
            <v>CHAPISCO TRACO 1:4 (CIMENTO E AREIA MEDIA), ESPESSURA 0,5CM, INCLUSO ADITIVO IMPERMEABILIZANTEPREPARO MANUAL DA ARGAMASSA</v>
          </cell>
          <cell r="C2979" t="str">
            <v>M2</v>
          </cell>
          <cell r="D2979">
            <v>4.22</v>
          </cell>
        </row>
        <row r="2980">
          <cell r="A2980" t="str">
            <v>73928/7</v>
          </cell>
          <cell r="B2980" t="str">
            <v>CHAPISCO TRACO 1:4 (CIMENTO E PEDRISCO), ESPESSURA 0,5CM, PREPARO MANUAL</v>
          </cell>
          <cell r="C2980" t="str">
            <v>M2</v>
          </cell>
          <cell r="D2980">
            <v>3.41</v>
          </cell>
        </row>
        <row r="2981">
          <cell r="A2981" t="str">
            <v>74161/1</v>
          </cell>
          <cell r="B2981" t="str">
            <v>CHAPISCO TRACO 1:3 (CIMENTO E AREIA GROSSA) ESPESSURA 0,5CM, PREPARO MECANICO DA ARGAMASSA</v>
          </cell>
          <cell r="C2981" t="str">
            <v>M2</v>
          </cell>
          <cell r="D2981">
            <v>3.7</v>
          </cell>
        </row>
        <row r="2982">
          <cell r="A2982" t="str">
            <v>74199/1</v>
          </cell>
          <cell r="B2982" t="str">
            <v>CHAPISCO RUSTICO TRACO 1:3 (CIMENTO E AREIA GROSSA), ESPESSURA 2CM, PREPARO MANUAL DA ARGAMASSA</v>
          </cell>
          <cell r="C2982" t="str">
            <v>M2</v>
          </cell>
          <cell r="D2982">
            <v>19.149999999999999</v>
          </cell>
        </row>
        <row r="2983">
          <cell r="A2983">
            <v>5976</v>
          </cell>
          <cell r="B2983" t="str">
            <v>EMBOCO TRACO 1:4,5 (CAL E AREIA MEDIA), ESPESSURA 1,5CM, PREPARO MANUAL DA ARGAMASSA</v>
          </cell>
          <cell r="C2983" t="str">
            <v>M2</v>
          </cell>
          <cell r="D2983">
            <v>17.43</v>
          </cell>
        </row>
        <row r="2984">
          <cell r="A2984">
            <v>5978</v>
          </cell>
          <cell r="B2984" t="str">
            <v>EMBOCO TRACO 1:4,5 (CAL E AREIA MEDIA), ESPESSURA 2,0CM, PREPARO MANUAL DA ARGAMASSA</v>
          </cell>
          <cell r="C2984" t="str">
            <v>M2</v>
          </cell>
          <cell r="D2984">
            <v>16.47</v>
          </cell>
        </row>
        <row r="2985">
          <cell r="A2985">
            <v>5982</v>
          </cell>
          <cell r="B2985" t="str">
            <v>EMBOCO PAULISTA (MASSA UNICA) TRACO 1:2:8 (CIMENTO, CAL E AREIA MEDIA), ESPESSURA 1,5CM, PREPARO MECANICO DA ARGAMASSA</v>
          </cell>
          <cell r="C2985" t="str">
            <v>M2</v>
          </cell>
          <cell r="D2985">
            <v>14.42</v>
          </cell>
        </row>
        <row r="2986">
          <cell r="A2986">
            <v>5984</v>
          </cell>
          <cell r="B2986" t="str">
            <v>EMBOCO TRACO 1:2:8 (CIMENTO, CAL E AREIA MEDIA), ESPESSURA 2,0CM, INCLUSO ADITIVO IMPERMEABILIZANTE, PREPARO MECANICO DA ARGAMASSA</v>
          </cell>
          <cell r="C2986" t="str">
            <v>M2</v>
          </cell>
          <cell r="D2986">
            <v>34.94</v>
          </cell>
        </row>
        <row r="2987">
          <cell r="A2987">
            <v>5990</v>
          </cell>
          <cell r="B2987" t="str">
            <v>EMBOCO TRACO 1:2:8 (CIMENTO, CAL E AREIA MEDIA), ESPESSURA 2,0CM, PREPARO MECANICO DA ARGAMASSA</v>
          </cell>
          <cell r="C2987" t="str">
            <v>M2</v>
          </cell>
          <cell r="D2987">
            <v>17.88</v>
          </cell>
        </row>
        <row r="2988">
          <cell r="A2988">
            <v>5991</v>
          </cell>
          <cell r="B2988" t="str">
            <v>BARRA LISA COM ARGAMASSA TRACO 1:4 (CIMENTO E AREIA GROSSA), ESPESSURA 2,0CM, INCLUSO ADITIVO IMPERMEABILIZANTE, PREPARO MECANICO DA ARGAMASSA</v>
          </cell>
          <cell r="C2988" t="str">
            <v>M2</v>
          </cell>
          <cell r="D2988">
            <v>26.79</v>
          </cell>
        </row>
        <row r="2989">
          <cell r="A2989">
            <v>5997</v>
          </cell>
          <cell r="B2989" t="str">
            <v>BARRA LISA COM ARGAMASSA TRACO 1:4 (CIMENTO E AREIA GROSSA), ESPESSURA 2,0CM, PREPARO MECANICO DA ARGAMASSA</v>
          </cell>
          <cell r="C2989" t="str">
            <v>M2</v>
          </cell>
          <cell r="D2989">
            <v>24.38</v>
          </cell>
        </row>
        <row r="2990">
          <cell r="A2990" t="str">
            <v>73741/1</v>
          </cell>
          <cell r="B2990" t="str">
            <v>EMBOCO PAULISTA (MASSA UNICA) TRACO 1:4 (CIMENTO E AREIA MEDIA), ESPESSURA 2,0CM, INCLUSO ADITIVO IMPERMEABILIZANTE, PREPARO MANUAL DA ARGAMASSA</v>
          </cell>
          <cell r="C2990" t="str">
            <v>M2</v>
          </cell>
          <cell r="D2990">
            <v>20.97</v>
          </cell>
        </row>
        <row r="2991">
          <cell r="A2991" t="str">
            <v>73878/1</v>
          </cell>
          <cell r="B2991" t="str">
            <v>EXECUCAO DE CONCRETO PROJETADO, COM CONSUMO DE CIMENTO 350KG/M3</v>
          </cell>
          <cell r="C2991" t="str">
            <v>M3</v>
          </cell>
          <cell r="D2991">
            <v>1826</v>
          </cell>
        </row>
        <row r="2992">
          <cell r="A2992" t="str">
            <v>73878/2</v>
          </cell>
          <cell r="B2992" t="str">
            <v>EXECUÇÃO DE ARGAMASSA PROJETADA, COM CONSUMO DE CIMENTO 400KG/M3</v>
          </cell>
          <cell r="C2992" t="str">
            <v>M3</v>
          </cell>
          <cell r="D2992">
            <v>1843</v>
          </cell>
        </row>
        <row r="2993">
          <cell r="A2993" t="str">
            <v>73927/1</v>
          </cell>
          <cell r="B2993" t="str">
            <v>EMBOCO TRACO 1:3 (CIMENTO E AREIA MEDIA), ESPESSURA 1,5CM, PREPARO MANUAL DA ARGAMASSA</v>
          </cell>
          <cell r="C2993" t="str">
            <v>M2</v>
          </cell>
          <cell r="D2993">
            <v>15.59</v>
          </cell>
        </row>
        <row r="2994">
          <cell r="A2994" t="str">
            <v>73927/5</v>
          </cell>
          <cell r="B2994" t="str">
            <v>EMBOCO TRACO 1:4 (CIMENTO E AREIA MEDIA), ESPESSURA 2,5CM INCLUSO ADITIVO IMPERMEABILIZANTE, PREPARO MANUAL DA ARGAMASSA</v>
          </cell>
          <cell r="C2994" t="str">
            <v>M2</v>
          </cell>
          <cell r="D2994">
            <v>22.19</v>
          </cell>
        </row>
        <row r="2995">
          <cell r="A2995" t="str">
            <v>73927/8</v>
          </cell>
          <cell r="B2995" t="str">
            <v>EMBOCO PAULISTA (MASSA UNICA) TRACO 1:2:8 (CIMENTO, CAL E AREIA MEDIA), ESPESSURA 1,5CM, PREPARO MANUAL DA ARGAMASSA</v>
          </cell>
          <cell r="C2995" t="str">
            <v>M2</v>
          </cell>
          <cell r="D2995">
            <v>14.96</v>
          </cell>
        </row>
        <row r="2996">
          <cell r="A2996" t="str">
            <v>73927/9</v>
          </cell>
          <cell r="B2996" t="str">
            <v>EMBOCO PAULISTA (MASSA UNICA) TRACO 1:2:8 (CIMENTO, CAL E AREIA MEDIA), ESPESSURA 2,0CM, PREPARO MANUAL DA ARGAMASSA</v>
          </cell>
          <cell r="C2996" t="str">
            <v>M2</v>
          </cell>
          <cell r="D2996">
            <v>18.600000000000001</v>
          </cell>
        </row>
        <row r="2997">
          <cell r="A2997" t="str">
            <v>73927/10</v>
          </cell>
          <cell r="B2997" t="str">
            <v>EMBOCO TRACO 1:2:8 (CIMENTO, CAL E AREIA MEDIA), ESPESSURA 3,0CM, PREPARO MANUAL DA ARGAMASSA</v>
          </cell>
          <cell r="C2997" t="str">
            <v>M2</v>
          </cell>
          <cell r="D2997">
            <v>25.87</v>
          </cell>
        </row>
        <row r="2998">
          <cell r="A2998" t="str">
            <v>73927/11</v>
          </cell>
          <cell r="B2998" t="str">
            <v>EMBOCO TRACO 1:4 (CIMENTO E AREIA MEDIA), ESPESSURA 2,0CM, PREPARO MANUAL DA ARGAMASSA</v>
          </cell>
          <cell r="C2998" t="str">
            <v>M2</v>
          </cell>
          <cell r="D2998">
            <v>19.43</v>
          </cell>
        </row>
        <row r="2999">
          <cell r="A2999">
            <v>84023</v>
          </cell>
          <cell r="B2999" t="str">
            <v>BARRA LISA TRACO 1:3 (CIMENTO E AREIA MEDIA), ESPESSURA 1,5CM, PREPARO MANUAL DA ARGAMASSA</v>
          </cell>
          <cell r="C2999" t="str">
            <v>M2</v>
          </cell>
          <cell r="D2999">
            <v>24.15</v>
          </cell>
        </row>
        <row r="3000">
          <cell r="A3000">
            <v>84024</v>
          </cell>
          <cell r="B3000" t="str">
            <v>BARRA LISA TRACO 1:3 (CIMENTO E AREIA MEDIA), ESPESSURA 1,0CM, PREPARO MANUAL DA ARGAMASSA</v>
          </cell>
          <cell r="C3000" t="str">
            <v>M2</v>
          </cell>
          <cell r="D3000">
            <v>22.34</v>
          </cell>
        </row>
        <row r="3001">
          <cell r="A3001">
            <v>84026</v>
          </cell>
          <cell r="B3001" t="str">
            <v>BARRA LISA TRACO 1:4 (CIMENTO E AREIA MEDIA), ESPESSURA 2,0CM, PREPARO MANUAL DA ARGAMASSA</v>
          </cell>
          <cell r="C3001" t="str">
            <v>M2</v>
          </cell>
          <cell r="D3001">
            <v>27.12</v>
          </cell>
        </row>
        <row r="3002">
          <cell r="A3002">
            <v>84027</v>
          </cell>
          <cell r="B3002" t="str">
            <v>BARRA LISA TRACO 1:3 (CIMENTO E AREIA MEDIA), ESPESSURA 0,5CM, PREPARO MANUAL DA ARGAMASSA</v>
          </cell>
          <cell r="C3002" t="str">
            <v>M2</v>
          </cell>
          <cell r="D3002">
            <v>18.489999999999998</v>
          </cell>
        </row>
        <row r="3003">
          <cell r="A3003">
            <v>84028</v>
          </cell>
          <cell r="B3003" t="str">
            <v>BARRA LISA TRACO 1:4 (CIMENTO E AREIA MEDIA), COM CORANTE AMARELO, ESPESSURA 2,0CM, PREPARO MANUAL DA ARGAMASSA</v>
          </cell>
          <cell r="C3003" t="str">
            <v>M2</v>
          </cell>
          <cell r="D3003">
            <v>31.12</v>
          </cell>
        </row>
        <row r="3004">
          <cell r="A3004">
            <v>84048</v>
          </cell>
          <cell r="B3004" t="str">
            <v>EMBOCO COM ARGAMASSA PRÉ-FABRICADA, ESPESSURA 2,0CM, PREPARO MANUAL DA ARGAMASSA</v>
          </cell>
          <cell r="C3004" t="str">
            <v>M2</v>
          </cell>
          <cell r="D3004">
            <v>22.44</v>
          </cell>
        </row>
        <row r="3005">
          <cell r="A3005">
            <v>84049</v>
          </cell>
          <cell r="B3005" t="str">
            <v>EMBOCO TRACO 1:3 (CIMENTO E AREIA GROSSA), ESPESSURA 2,5CM COM CORANTE, PREPARO MECÂNICO DA ARGAMASSA</v>
          </cell>
          <cell r="C3005" t="str">
            <v>M2</v>
          </cell>
          <cell r="D3005">
            <v>29.51</v>
          </cell>
        </row>
        <row r="3006">
          <cell r="A3006">
            <v>84051</v>
          </cell>
          <cell r="B3006" t="str">
            <v>EMBOCO TRACO 1:2:2 (CIMENTO, SAIBRO E AREIA MEDIA), ESPESSURA 2,0CM, PREPARO MANUAL DA ARGAMASSA</v>
          </cell>
          <cell r="C3006" t="str">
            <v>M2</v>
          </cell>
          <cell r="D3006">
            <v>17.47</v>
          </cell>
        </row>
        <row r="3007">
          <cell r="A3007">
            <v>84071</v>
          </cell>
          <cell r="B3007" t="str">
            <v>EMBOCO TRACO 1:2:2 (CIMENTO, SAIBRO E AREIA MEDIA), ESPESSURA 1,5CM, PREPARO MANUAL DA ARGAMASSA</v>
          </cell>
          <cell r="C3007" t="str">
            <v>M2</v>
          </cell>
          <cell r="D3007">
            <v>14.12</v>
          </cell>
        </row>
        <row r="3008">
          <cell r="A3008">
            <v>84072</v>
          </cell>
          <cell r="B3008" t="str">
            <v>BARRA LISA TRACO 1:3 (CIMENTO E AREIA MEDIA NAO PENEIRADA), INCLUSO ADITIVO IMPERMEABILIZANTE, ESPESSURA 0,5CM, PREPARO MANUAL DA ARGAMASSA</v>
          </cell>
          <cell r="C3008" t="str">
            <v>M2</v>
          </cell>
          <cell r="D3008">
            <v>18.8</v>
          </cell>
        </row>
        <row r="3009">
          <cell r="A3009">
            <v>84073</v>
          </cell>
          <cell r="B3009" t="str">
            <v>EMBOCO PAULISTA (MASSA UNICA) TRACO 1:2:8 (CIMENTO, CAL E AREIA MEDIA), ESPESSURA 1,5CM, INCLUSO ADITIVO IMPERMEABILIZANTE, PREPARO MANUAL DA ARGAMASSA</v>
          </cell>
          <cell r="C3009" t="str">
            <v>M2</v>
          </cell>
          <cell r="D3009">
            <v>16.77</v>
          </cell>
        </row>
        <row r="3010">
          <cell r="A3010">
            <v>85174</v>
          </cell>
          <cell r="B3010" t="str">
            <v>EMBOCO PAULISTA (MASSA UNICA) TRACO 1:2:8 (CIMENTO, CAL E AREIA MEDIA), ESPESSURA 2,5 CM, PREPARO MANUAL DA ARGAMASSA</v>
          </cell>
          <cell r="C3010" t="str">
            <v>M2</v>
          </cell>
          <cell r="D3010">
            <v>22.23</v>
          </cell>
        </row>
        <row r="3011">
          <cell r="A3011">
            <v>5995</v>
          </cell>
          <cell r="B3011" t="str">
            <v>REBOCO ARGAMASSA TRACO 1:4,5 (CAL E AREIA FINA), ESPESSURA 0,5CM, PREPARO MECANICO DA ARGAMASSA</v>
          </cell>
          <cell r="C3011" t="str">
            <v>M2</v>
          </cell>
          <cell r="D3011">
            <v>11.65</v>
          </cell>
        </row>
        <row r="3012">
          <cell r="A3012">
            <v>5998</v>
          </cell>
          <cell r="B3012" t="str">
            <v>PASTA DE CIMENTO PORTLAND, ESPESSURA 1MM</v>
          </cell>
          <cell r="C3012" t="str">
            <v>M2</v>
          </cell>
          <cell r="D3012">
            <v>0.66</v>
          </cell>
        </row>
        <row r="3013">
          <cell r="A3013" t="str">
            <v>73747/1</v>
          </cell>
          <cell r="B3013" t="str">
            <v>ISOLAMENTO ACUSTICO EM ESPUMA DE POLIURETANO ESPESSURA 20 MM, DENSIDADE 29KG/M3</v>
          </cell>
          <cell r="C3013" t="str">
            <v>M2</v>
          </cell>
          <cell r="D3013">
            <v>59.58</v>
          </cell>
        </row>
        <row r="3014">
          <cell r="A3014" t="str">
            <v>74001/1</v>
          </cell>
          <cell r="B3014" t="str">
            <v>REBOCO COM ARGAMASSA PRE-FABRICADA, ESPESSURA 0,5CM, PREPARO MECANICO DA ARGAMASSA</v>
          </cell>
          <cell r="C3014" t="str">
            <v>M2</v>
          </cell>
          <cell r="D3014">
            <v>13.92</v>
          </cell>
        </row>
        <row r="3015">
          <cell r="A3015" t="str">
            <v>74001/2</v>
          </cell>
          <cell r="B3015" t="str">
            <v>GESSO CORRIDO, DESEMPENADO, ESPESSURA 0,7CM</v>
          </cell>
          <cell r="C3015" t="str">
            <v>M2</v>
          </cell>
          <cell r="D3015">
            <v>10.97</v>
          </cell>
        </row>
        <row r="3016">
          <cell r="A3016">
            <v>75481</v>
          </cell>
          <cell r="B3016" t="str">
            <v>REBOCO ARGAMASSA TRACO 1:2 (CAL E AREIA FINA PENEIRADA), ESPESSURA 0,5CM, PREPARO MANUAL DA ARGAMASSA</v>
          </cell>
          <cell r="C3016" t="str">
            <v>M2</v>
          </cell>
          <cell r="D3016">
            <v>10.14</v>
          </cell>
        </row>
        <row r="3017">
          <cell r="A3017">
            <v>84074</v>
          </cell>
          <cell r="B3017" t="str">
            <v>REBOCO COM ARGAMASSA PRÉ-FABRICADA, ACABAMENTO CAMURCADO, ESPESSURA 0,3CM, PREPARO MANUAL</v>
          </cell>
          <cell r="C3017" t="str">
            <v>M2</v>
          </cell>
          <cell r="D3017">
            <v>16.18</v>
          </cell>
        </row>
        <row r="3018">
          <cell r="A3018">
            <v>84075</v>
          </cell>
          <cell r="B3018" t="str">
            <v>REBOCO COM ARGAMASSA PRÉ-FABRICADA, ACABAMENTO FRISADO, ESPESSURA 0,7CM, PREPARO MECANICO</v>
          </cell>
          <cell r="C3018" t="str">
            <v>M2</v>
          </cell>
          <cell r="D3018">
            <v>49.42</v>
          </cell>
        </row>
        <row r="3019">
          <cell r="A3019">
            <v>84076</v>
          </cell>
          <cell r="B3019" t="str">
            <v>REBOCO TRACO 1:3 (CIMENTO E AREIA MEDIA NAO PENEIRADA), BASE PARA TINTA EPOXI, PREPARO MANUAL DA ARGAMASSA</v>
          </cell>
          <cell r="C3019" t="str">
            <v>M2</v>
          </cell>
          <cell r="D3019">
            <v>16.690000000000001</v>
          </cell>
        </row>
        <row r="3020">
          <cell r="A3020">
            <v>5999</v>
          </cell>
          <cell r="B3020" t="str">
            <v>AZULEJO 15X15CM, 2A QUALIDADE, ASSENTADO COM ARGAMASSA PRE-FABRICADA DE CIMENTO COLANTE, JUNTAS A PRUMO, INCLUINDO SERVICO DE REJUNTAMENTO COM CIMENTO BRANCO</v>
          </cell>
          <cell r="C3020" t="str">
            <v>M2</v>
          </cell>
          <cell r="D3020">
            <v>27.73</v>
          </cell>
        </row>
        <row r="3021">
          <cell r="A3021">
            <v>6000</v>
          </cell>
          <cell r="B3021" t="str">
            <v>AZULEJO 15X15CM, 1A QUALIDADE, ASSENTADO COM ARGAMASSA PRE-FABRICADA DE CIMENTO COLANTE, JUNTAS EM AMARRACAO, INCLUINDO SERVICO DE REJUNTAMENTO COM CIMENTO BRANCO</v>
          </cell>
          <cell r="C3021" t="str">
            <v>M2</v>
          </cell>
          <cell r="D3021">
            <v>26.82</v>
          </cell>
        </row>
        <row r="3022">
          <cell r="A3022" t="str">
            <v>73925/2</v>
          </cell>
          <cell r="B3022" t="str">
            <v>AZULEJO 15X15CM, 1A QUALIDADE, ASSENTADO COM ARGAMASSA PRE-FABRICADA DE CIMENTO COLANTE, JUNTAS A PRUMO, INCLUINDO SERVICO DE REJUNTAMENTO COM CIMENTO BRANCO</v>
          </cell>
          <cell r="C3022" t="str">
            <v>M2</v>
          </cell>
          <cell r="D3022">
            <v>32.03</v>
          </cell>
        </row>
        <row r="3023">
          <cell r="A3023">
            <v>84077</v>
          </cell>
          <cell r="B3023" t="str">
            <v>REJUNTAMENTO DE AZULEJO 15X15CM, COM CIMENTO BRANCO, PARA JUNTAS DE ATE 3MM</v>
          </cell>
          <cell r="C3023" t="str">
            <v>M2</v>
          </cell>
          <cell r="D3023">
            <v>5</v>
          </cell>
        </row>
        <row r="3024">
          <cell r="A3024">
            <v>73609</v>
          </cell>
          <cell r="B3024" t="str">
            <v>REVESTIMENTO COM TIJOLETES DE LITOCERAMICA, FIXADOS COM ARGAMASSA COLANTE PRE-FABRICADA, REJUNTAMENTO COM CIMENTO BRANCO, INCLUSO LIMPEZA</v>
          </cell>
          <cell r="C3024" t="str">
            <v>M2</v>
          </cell>
          <cell r="D3024">
            <v>25.25</v>
          </cell>
        </row>
        <row r="3025">
          <cell r="A3025">
            <v>73667</v>
          </cell>
          <cell r="B3025" t="str">
            <v>REVESTIMENTO COM PASTILHA DE CERAMICA ESMALTADA QUADRADA 1,  ASSENTADA COM ARGAMASSA PRE-FABRICADA DE CIMENTO COLANTE E REJUNTAMENTO COM CIMENTO BRANCO, INCLUSO LIMPEZA</v>
          </cell>
          <cell r="C3025" t="str">
            <v>M2</v>
          </cell>
          <cell r="D3025">
            <v>108.35</v>
          </cell>
        </row>
        <row r="3026">
          <cell r="A3026" t="str">
            <v>73912/1</v>
          </cell>
          <cell r="B3026" t="str">
            <v>REVESTIMENTO COM CERAMICA ESMALTADA 20X20CM, 1A LINHA, PADRAO MEDIO, ASSENTADA COM ARGAMASSA PRE-FABRICADA DE CIMENTO COLANTE E REJUNTAMENTO COM CIMENTO BRANCO</v>
          </cell>
          <cell r="C3026" t="str">
            <v>M2</v>
          </cell>
          <cell r="D3026">
            <v>30.72</v>
          </cell>
        </row>
        <row r="3027">
          <cell r="A3027" t="str">
            <v>73912/2</v>
          </cell>
          <cell r="B3027" t="str">
            <v>REVESTIMENTO COM CERAMICA ESMALTADA 20X20CM, 1A LINHA, PADRAO ALTO, ASSENTADA COM ARGAMASSA DE CIMENTO COLANTE E REJUNTAMENTO COM CIMENTO BRANCO</v>
          </cell>
          <cell r="C3027" t="str">
            <v>M2</v>
          </cell>
          <cell r="D3027">
            <v>31.3</v>
          </cell>
        </row>
        <row r="3028">
          <cell r="A3028">
            <v>84078</v>
          </cell>
          <cell r="B3028" t="str">
            <v>REVESTIMENTO DE PAREDE COM PEDRA SAO TOME 20X40CM, ASSENTAMENTO COM ARGAMASSA TRACO 1:2:2 (CIMENTO, SAIBRO E AREIA MEDIA NAO PENEIRADA), PREPARO MANUAL DA ARGAMASSA</v>
          </cell>
          <cell r="C3028" t="str">
            <v>M2</v>
          </cell>
          <cell r="D3028">
            <v>105.11</v>
          </cell>
        </row>
        <row r="3029">
          <cell r="A3029">
            <v>84079</v>
          </cell>
          <cell r="B3029" t="str">
            <v>REVESTIMENTO DE PAREDE COM PEDRA ARDOSIA CINZA 30X30X1CM, ASSENTADO COM ARGAMASSA TRACO 1:2:2 (CIMENTO, SAIBRO E AREIA MEDIA NAO PENEIRADA) PREPARO MANUAL DA ARGAMASSA</v>
          </cell>
          <cell r="C3029" t="str">
            <v>M2</v>
          </cell>
          <cell r="D3029">
            <v>52.14</v>
          </cell>
        </row>
        <row r="3030">
          <cell r="A3030">
            <v>84080</v>
          </cell>
          <cell r="B3030" t="str">
            <v>REVESTIMENTO DE PAREDE COM PEDRA ARDOSIA CINZA 40X40X1CM, ASSENTAMENTO COM ARGAMASSA TRACO 1:2:2 (CIMENTO, SAIBRO E AREIA MEDIA NAO PENEIRADA) PREPARO MANUAL DA ARGAMASSA</v>
          </cell>
          <cell r="C3030" t="str">
            <v>M2</v>
          </cell>
          <cell r="D3030">
            <v>52.14</v>
          </cell>
        </row>
        <row r="3031">
          <cell r="A3031">
            <v>84081</v>
          </cell>
          <cell r="B3031" t="str">
            <v>REVESTIMENTO DE PAREDE COM PEDRA BASALTO CINZA 20X40CM IRREGULAR, ASSENTAMENTO COM ARGAMASSA TRACO 1:4 (CIMENTO E AREIA MEDIA NAO PENEIRADA), PREPARO MANUAL DA ARGAMASSA</v>
          </cell>
          <cell r="C3031" t="str">
            <v>M2</v>
          </cell>
          <cell r="D3031">
            <v>74.69</v>
          </cell>
        </row>
        <row r="3032">
          <cell r="A3032">
            <v>84082</v>
          </cell>
          <cell r="B3032" t="str">
            <v>REQUADRO 7X2CM PARA VAOS DE ESQUADRIAS, ARGAMASSA TRACO 1:4 (CIMENTO E AREIA MEDIA), PREPARO MANUAL</v>
          </cell>
          <cell r="C3032" t="str">
            <v>M2</v>
          </cell>
          <cell r="D3032">
            <v>26.78</v>
          </cell>
        </row>
        <row r="3033">
          <cell r="A3033">
            <v>84083</v>
          </cell>
          <cell r="B3033" t="str">
            <v>REQUADRO EM MADEIRA DE LEI 4X2,5CM</v>
          </cell>
          <cell r="C3033" t="str">
            <v>M2</v>
          </cell>
          <cell r="D3033">
            <v>10.96</v>
          </cell>
        </row>
        <row r="3034">
          <cell r="A3034">
            <v>84084</v>
          </cell>
          <cell r="B3034" t="str">
            <v>APICOAMENTO MANUAL DE SUPERFICIE DE CONCRETO</v>
          </cell>
          <cell r="C3034" t="str">
            <v>M2</v>
          </cell>
          <cell r="D3034">
            <v>3.66</v>
          </cell>
        </row>
        <row r="3035">
          <cell r="A3035" t="str">
            <v>74087/1</v>
          </cell>
          <cell r="B3035" t="str">
            <v>PEITORIL DE ARDOSIA, LARGURA 15CM, ASSENTADO COM ARGAMASSA TRACO 1:2:8 (CIMENTO, CAL E AREIA) PREPARO MANUAL DA ARGAMASSA</v>
          </cell>
          <cell r="C3035" t="str">
            <v>M</v>
          </cell>
          <cell r="D3035">
            <v>3.26</v>
          </cell>
        </row>
        <row r="3036">
          <cell r="A3036">
            <v>84087</v>
          </cell>
          <cell r="B3036" t="str">
            <v>PEITORIL CERAMICO COM LARGURA DE 15CM, ASSENTADO COM ARGAMASSA TRACO 1:3 (CIMENTO E AREIA GROSSA), PREPARO MANUAL DA ARGAMASSA</v>
          </cell>
          <cell r="C3036" t="str">
            <v>M</v>
          </cell>
          <cell r="D3036">
            <v>26.13</v>
          </cell>
        </row>
        <row r="3037">
          <cell r="A3037">
            <v>84086</v>
          </cell>
          <cell r="B3037" t="str">
            <v>PEITORIL EM GRANILITE PREMOLDADO, COMPRIMENTO DE 13 A 20CM, ASSENTADO COM ARGAMASSA TRACO 1:3 (CIMENTO E AREIA MEDIA), PREPARO MANUAL DA ARGAMASSA</v>
          </cell>
          <cell r="C3037" t="str">
            <v>M</v>
          </cell>
          <cell r="D3037">
            <v>38.9</v>
          </cell>
        </row>
        <row r="3038">
          <cell r="A3038">
            <v>84088</v>
          </cell>
          <cell r="B3038" t="str">
            <v>PEITORIL EM MARMORE BRANCO, LARGURA DE 15CM, ASSENTADO COM ARGAMASSA TRACO 1:4 (CIMENTO E AREIA MEDIA), PREPARO MANUAL DA ARGAMASSA</v>
          </cell>
          <cell r="C3038" t="str">
            <v>M</v>
          </cell>
          <cell r="D3038">
            <v>100.59</v>
          </cell>
        </row>
        <row r="3039">
          <cell r="A3039">
            <v>84089</v>
          </cell>
          <cell r="B3039" t="str">
            <v>PEITORIL EM MARMORE BRANCO, LARGURA DE 25CM, ASSENTADO COM ARGAMASSA TRACO 1:3 (CIMENTO E AREIA MEDIA), PREPARO MANUAL DA ARGAMASSA</v>
          </cell>
          <cell r="C3039" t="str">
            <v>M</v>
          </cell>
          <cell r="D3039">
            <v>138.27000000000001</v>
          </cell>
        </row>
        <row r="3040">
          <cell r="A3040">
            <v>40675</v>
          </cell>
          <cell r="B3040" t="str">
            <v>ASSENTAMENTO DE PEITORIL COM ARGAMASSA DE CIMENTO COLANTE</v>
          </cell>
          <cell r="C3040" t="str">
            <v>M</v>
          </cell>
          <cell r="D3040">
            <v>2.4</v>
          </cell>
        </row>
        <row r="3041">
          <cell r="A3041">
            <v>84118</v>
          </cell>
          <cell r="B3041" t="str">
            <v>PEITORIL CIMENTADO LISO 20X3CM TRACO 1:4 (CIMENTO E AREIA)</v>
          </cell>
          <cell r="C3041" t="str">
            <v>M</v>
          </cell>
          <cell r="D3041">
            <v>14.37</v>
          </cell>
        </row>
        <row r="3042">
          <cell r="A3042">
            <v>9536</v>
          </cell>
          <cell r="B3042" t="str">
            <v>FORRO DE MADEIRA PARA BEIRAL, TABUAS DE 10X1CM COM FRISO MACHO/FEMEA, INCLUSA MEIA-CANA E TESTEIRA COM ALTURA DE 15CM</v>
          </cell>
          <cell r="C3042" t="str">
            <v>M2</v>
          </cell>
          <cell r="D3042">
            <v>81.83</v>
          </cell>
        </row>
        <row r="3043">
          <cell r="A3043" t="str">
            <v>74250/1</v>
          </cell>
          <cell r="B3043" t="str">
            <v>FORRO DE MADEIRA, TABUAS 10X1CM COM FRISO MACHO/FEMEA, EXCLUSIVE ENTARUGAMENTO</v>
          </cell>
          <cell r="C3043" t="str">
            <v>M2</v>
          </cell>
          <cell r="D3043">
            <v>44.9</v>
          </cell>
        </row>
        <row r="3044">
          <cell r="A3044" t="str">
            <v>74250/2</v>
          </cell>
          <cell r="B3044" t="str">
            <v>FORRO DE MADEIRA, TABUAS 10X1CM COM FRISO MACHO/FEMEA, INCLUSIVE MEIA-CANA E ENTARUGAMENTO</v>
          </cell>
          <cell r="C3044" t="str">
            <v>M2</v>
          </cell>
          <cell r="D3044">
            <v>57.12</v>
          </cell>
        </row>
        <row r="3045">
          <cell r="A3045">
            <v>84090</v>
          </cell>
          <cell r="B3045" t="str">
            <v>FORRO DE MADEIRA COM TABUAS 10X1CM FIXADAS EM SARRAFOS DE 2X10CM COM ESPACAMENTO DE 50CM</v>
          </cell>
          <cell r="C3045" t="str">
            <v>M2</v>
          </cell>
          <cell r="D3045">
            <v>60.56</v>
          </cell>
        </row>
        <row r="3046">
          <cell r="A3046">
            <v>84091</v>
          </cell>
          <cell r="B3046" t="str">
            <v>BARROTEAMENTO PARA FORRO, COM PECAS DE MADEIRA 2,5X10CM, ESPACADAS DE 50CM</v>
          </cell>
          <cell r="C3046" t="str">
            <v>M2</v>
          </cell>
          <cell r="D3046">
            <v>28.89</v>
          </cell>
        </row>
        <row r="3047">
          <cell r="A3047">
            <v>84093</v>
          </cell>
          <cell r="B3047" t="str">
            <v>TABEIRA DE MADEIRA LEI, 1A QUALIDADE, 2,5X30,0CM PARA BEIRAL DE TELHADO</v>
          </cell>
          <cell r="C3047" t="str">
            <v>M</v>
          </cell>
          <cell r="D3047">
            <v>25.19</v>
          </cell>
        </row>
        <row r="3048">
          <cell r="A3048">
            <v>84094</v>
          </cell>
          <cell r="B3048" t="str">
            <v>MEIA CANA 2,5X2,5CM COM ACABAMENTO PARA FORRO DE MADEIRA</v>
          </cell>
          <cell r="C3048" t="str">
            <v>M</v>
          </cell>
          <cell r="D3048">
            <v>5.3</v>
          </cell>
        </row>
        <row r="3049">
          <cell r="A3049">
            <v>84095</v>
          </cell>
          <cell r="B3049" t="str">
            <v>RODATETO EM MADEIRA DE LEI 7,0X2,5CM</v>
          </cell>
          <cell r="C3049" t="str">
            <v>M</v>
          </cell>
          <cell r="D3049">
            <v>12.57</v>
          </cell>
        </row>
        <row r="3050">
          <cell r="A3050">
            <v>84096</v>
          </cell>
          <cell r="B3050" t="str">
            <v>RODATETO EM MADEIRA DE LEI 4,0X1,5CM</v>
          </cell>
          <cell r="C3050" t="str">
            <v>M</v>
          </cell>
          <cell r="D3050">
            <v>9.86</v>
          </cell>
        </row>
        <row r="3051">
          <cell r="A3051">
            <v>72197</v>
          </cell>
          <cell r="B3051" t="str">
            <v>SANCA DE GESSO, ALTURA 15CM, MOLDADA NA OBRA</v>
          </cell>
          <cell r="C3051" t="str">
            <v>M</v>
          </cell>
          <cell r="D3051">
            <v>17.600000000000001</v>
          </cell>
        </row>
        <row r="3052">
          <cell r="A3052" t="str">
            <v>73792/1</v>
          </cell>
          <cell r="B3052" t="str">
            <v>FORRO EM PLACAS PRE-MOLDADAS DE GESSO LISO, BISOTADO, 60X60CM COM ESPESSURA CENTRAL 1,2CM E NAS BORDAS 3,0CM, INCLUSO FIXACAO COM ARAME E ESTRUTURA DE MADEIRA</v>
          </cell>
          <cell r="C3052" t="str">
            <v>M2</v>
          </cell>
          <cell r="D3052">
            <v>49.39</v>
          </cell>
        </row>
        <row r="3053">
          <cell r="A3053" t="str">
            <v>73986/1</v>
          </cell>
          <cell r="B3053" t="str">
            <v>FORRO DE GESSO EM PLACAS 60X60CM, ESPESSURA 1,2CM, INCLUSIVE FIXACAO COM ARAME</v>
          </cell>
          <cell r="C3053" t="str">
            <v>M2</v>
          </cell>
          <cell r="D3053">
            <v>22.72</v>
          </cell>
        </row>
        <row r="3054">
          <cell r="A3054">
            <v>84097</v>
          </cell>
          <cell r="B3054" t="str">
            <v>REVESTIMENTO COM MARMORE ACINZENTADO POLIDO 20X30CM, ESPESSURA DE 2CM, ASSENTADO COM ARGAMASSA PRE-FABRICADA DE CIMENTO COLANTE E REJUNTAMENTO COM ARGAMASSA PRE-FABRICADA PARA REJUNTAMENTO</v>
          </cell>
          <cell r="C3054" t="str">
            <v>M2</v>
          </cell>
          <cell r="D3054">
            <v>288.93</v>
          </cell>
        </row>
        <row r="3055">
          <cell r="A3055">
            <v>72200</v>
          </cell>
          <cell r="B3055" t="str">
            <v>REVESTIMENTO EM LAMINADO MELAMINICO TEXTURIZADO, ESPESSURA 1,3MM, FIXADO COM COLA</v>
          </cell>
          <cell r="C3055" t="str">
            <v>M2</v>
          </cell>
          <cell r="D3055">
            <v>54.93</v>
          </cell>
        </row>
        <row r="3056">
          <cell r="A3056" t="str">
            <v>73807/1</v>
          </cell>
          <cell r="B3056" t="str">
            <v>CORRIMAO EM MARMORITE, LARGURA 15CM</v>
          </cell>
          <cell r="C3056" t="str">
            <v>M</v>
          </cell>
          <cell r="D3056">
            <v>53.96</v>
          </cell>
        </row>
        <row r="3057">
          <cell r="A3057">
            <v>72201</v>
          </cell>
          <cell r="B3057" t="str">
            <v>RECOLOCACO DE FORROS EM REGUA DE PVC E PERFIS, CONSIDERANDO REAPROVEITAMENTO DO MATERIAL</v>
          </cell>
          <cell r="C3057" t="str">
            <v>M2</v>
          </cell>
          <cell r="D3057">
            <v>7.59</v>
          </cell>
        </row>
        <row r="3058">
          <cell r="A3058">
            <v>72198</v>
          </cell>
          <cell r="B3058" t="str">
            <v>ISOLAMENTO TERMICO COM ARGAMASSA TRACO 1:3 (CIMENTO E AREIA GROSSA NAO PENEIRADA), COM ADICAO DE PEROLAS DE ISOPOR, ESPESSURA 6CM, PREPARO MANUAL DA ARGAMASSA</v>
          </cell>
          <cell r="C3058" t="str">
            <v>M2</v>
          </cell>
          <cell r="D3058">
            <v>79.260000000000005</v>
          </cell>
        </row>
        <row r="3059">
          <cell r="A3059" t="str">
            <v>73833/1</v>
          </cell>
          <cell r="B3059" t="str">
            <v>ISOLAMENTO TERMICO COM MANTA DE LA DE VIDRO, ESPESSURA 2,5CM</v>
          </cell>
          <cell r="C3059" t="str">
            <v>M2</v>
          </cell>
          <cell r="D3059">
            <v>71.150000000000006</v>
          </cell>
        </row>
        <row r="3060">
          <cell r="A3060">
            <v>84098</v>
          </cell>
          <cell r="B3060" t="str">
            <v>ISOLAMENTO ACUSTICO COM ESPUMA POLIURETANO E=25MM, FLEXIVEL 100X100X2CM, DENSIDADE 29 A 35 KG/M3</v>
          </cell>
          <cell r="C3060" t="str">
            <v>M2</v>
          </cell>
          <cell r="D3060">
            <v>59.32</v>
          </cell>
        </row>
        <row r="3061">
          <cell r="A3061">
            <v>83730</v>
          </cell>
          <cell r="B3061" t="str">
            <v>REPARO ESTRUTURAL DE ESTRUTURAS DE CONCRETO COM ARGAMASSA POLIMERICA DE ALTO DESEMPENHO, E=2 CM</v>
          </cell>
          <cell r="C3061" t="str">
            <v>M2</v>
          </cell>
          <cell r="D3061">
            <v>292.83</v>
          </cell>
        </row>
        <row r="3062">
          <cell r="A3062">
            <v>83736</v>
          </cell>
          <cell r="B3062" t="str">
            <v>REPARO/COLAGEM DE ESTRUTURAS DE CONCRETO COM ADESIVO ESTRUTURAL A BASE DE EPOXI, E=2 MM</v>
          </cell>
          <cell r="C3062" t="str">
            <v>M2</v>
          </cell>
          <cell r="D3062">
            <v>199.54</v>
          </cell>
        </row>
        <row r="3063">
          <cell r="A3063">
            <v>72817</v>
          </cell>
          <cell r="B3063" t="str">
            <v>BANDEJA SALVA-VIDAS/COLETA DE ENTULHOS, COM TABUA</v>
          </cell>
          <cell r="C3063" t="str">
            <v>M</v>
          </cell>
          <cell r="D3063">
            <v>167.5</v>
          </cell>
        </row>
        <row r="3064">
          <cell r="A3064">
            <v>73618</v>
          </cell>
          <cell r="B3064" t="str">
            <v>LOCACAO MENSAL DE ANDAIME METALICO TIPO FACHADEIRO, INCLUSIVE MONTAGEM</v>
          </cell>
          <cell r="C3064" t="str">
            <v>M2</v>
          </cell>
          <cell r="D3064">
            <v>6.73</v>
          </cell>
        </row>
        <row r="3065">
          <cell r="A3065">
            <v>73673</v>
          </cell>
          <cell r="B3065" t="str">
            <v>ANDAIME PARA REVESTIMENTO DE FORROS EM MADEIRA DE 3A</v>
          </cell>
          <cell r="C3065" t="str">
            <v>M2</v>
          </cell>
          <cell r="D3065">
            <v>13.97</v>
          </cell>
        </row>
        <row r="3066">
          <cell r="A3066">
            <v>73674</v>
          </cell>
          <cell r="B3066" t="str">
            <v>ANDAIME PARA ALVENARIA EM MADEIRA DE 2A</v>
          </cell>
          <cell r="C3066" t="str">
            <v>M2</v>
          </cell>
          <cell r="D3066">
            <v>14.05</v>
          </cell>
        </row>
        <row r="3067">
          <cell r="A3067" t="str">
            <v>73804/1</v>
          </cell>
          <cell r="B3067" t="str">
            <v>PROTECAO DE FACHADA COM TELA DE POLIPROPILENO FIXADA EM ESTRUTURA DE MADEIRA COM ARAME GALVANIZADO</v>
          </cell>
          <cell r="C3067" t="str">
            <v>M2</v>
          </cell>
          <cell r="D3067">
            <v>16.32</v>
          </cell>
        </row>
        <row r="3068">
          <cell r="A3068">
            <v>84111</v>
          </cell>
          <cell r="B3068" t="str">
            <v>PLATAFORMA MADEIRA P/ ANDAIME TUBULAR APROVEITAMENTO 20 VEZES</v>
          </cell>
          <cell r="C3068" t="str">
            <v>M2</v>
          </cell>
          <cell r="D3068">
            <v>2.16</v>
          </cell>
        </row>
        <row r="3069">
          <cell r="A3069">
            <v>84112</v>
          </cell>
          <cell r="B3069" t="str">
            <v>ANDAIME TABUADO SOBRE CAVALETES (INCLUSO CAVALETE) EM MADEIRA DE 1ª UTIL 20X INCL MOVIMENTACAO P/ PE-DIREITO 4,00M</v>
          </cell>
          <cell r="C3069" t="str">
            <v>M2</v>
          </cell>
          <cell r="D3069">
            <v>14.49</v>
          </cell>
        </row>
        <row r="3070">
          <cell r="A3070">
            <v>1847</v>
          </cell>
          <cell r="B3070" t="str">
            <v>ARGAMASSA CIMENTO/AREIA GROSSA SEM PENEIRAR 1:3 PREPARO MANUAL</v>
          </cell>
          <cell r="C3070" t="str">
            <v>M3</v>
          </cell>
          <cell r="D3070">
            <v>348.56</v>
          </cell>
        </row>
        <row r="3071">
          <cell r="A3071">
            <v>4884</v>
          </cell>
          <cell r="B3071" t="str">
            <v>ARGAMASSA TRACO 1:3 (CIMENTO E AREIA), PREPARO MANUAL</v>
          </cell>
          <cell r="C3071" t="str">
            <v>M3</v>
          </cell>
          <cell r="D3071">
            <v>362.49</v>
          </cell>
        </row>
        <row r="3072">
          <cell r="A3072">
            <v>6011</v>
          </cell>
          <cell r="B3072" t="str">
            <v>ARGAMASSA TRACO 1:3  (CIMENTO E AREIA MEDIA PENEIRADA), PREPARO MECANICO</v>
          </cell>
          <cell r="C3072" t="str">
            <v>M3</v>
          </cell>
          <cell r="D3072">
            <v>444.54</v>
          </cell>
        </row>
        <row r="3073">
          <cell r="A3073">
            <v>6013</v>
          </cell>
          <cell r="B3073" t="str">
            <v>ARGAMASSA TRACO 1:3  (CIMENTO E AREIA GROSSA NAO PENEIRADA), PREPARO MECANICO</v>
          </cell>
          <cell r="C3073" t="str">
            <v>M3</v>
          </cell>
          <cell r="D3073">
            <v>335.49</v>
          </cell>
        </row>
        <row r="3074">
          <cell r="A3074">
            <v>6014</v>
          </cell>
          <cell r="B3074" t="str">
            <v>ARGAMASSA TRACO 1:4  (CIMENTO E AREIA MEDIA PENEIRADA), PREPARO MECANICO</v>
          </cell>
          <cell r="C3074" t="str">
            <v>M3</v>
          </cell>
          <cell r="D3074">
            <v>394.99</v>
          </cell>
        </row>
        <row r="3075">
          <cell r="A3075">
            <v>6019</v>
          </cell>
          <cell r="B3075" t="str">
            <v>ARGAMASSA TRACO 1:6  (CIMENTO E AREIA MEDIA NAO PENEIRADA), PREPARO MECANICO</v>
          </cell>
          <cell r="C3075" t="str">
            <v>M3</v>
          </cell>
          <cell r="D3075">
            <v>232.41</v>
          </cell>
        </row>
        <row r="3076">
          <cell r="A3076">
            <v>6020</v>
          </cell>
          <cell r="B3076" t="str">
            <v>ARGAMASSA CIMENTO/AREIA GROSSA SEM PENEIRAR 1:8 PREPARO MANUAL</v>
          </cell>
          <cell r="C3076" t="str">
            <v>M3</v>
          </cell>
          <cell r="D3076">
            <v>242.73</v>
          </cell>
        </row>
        <row r="3077">
          <cell r="A3077">
            <v>6022</v>
          </cell>
          <cell r="B3077" t="str">
            <v>ARGAMASSA TRACO 1:2  (CAL E AREIA FINA PENEIRADA), PREPARO MANUAL</v>
          </cell>
          <cell r="C3077" t="str">
            <v>M3</v>
          </cell>
          <cell r="D3077">
            <v>378.99</v>
          </cell>
        </row>
        <row r="3078">
          <cell r="A3078">
            <v>6023</v>
          </cell>
          <cell r="B3078" t="str">
            <v>ARGAMASSA TRACO 1:4,5  (CAL E AREIA MEDIA NAO  PENEIRADA), PREPARO MECANICO</v>
          </cell>
          <cell r="C3078" t="str">
            <v>M3</v>
          </cell>
          <cell r="D3078">
            <v>185.96</v>
          </cell>
        </row>
        <row r="3079">
          <cell r="A3079">
            <v>6025</v>
          </cell>
          <cell r="B3079" t="str">
            <v>ARGAMASSA TRACO 1:4,5  (CAL E AREIA MEDIA NAO  PENEIRADA), PREPARO MANUAL</v>
          </cell>
          <cell r="C3079" t="str">
            <v>M3</v>
          </cell>
          <cell r="D3079">
            <v>214.58</v>
          </cell>
        </row>
        <row r="3080">
          <cell r="A3080">
            <v>6028</v>
          </cell>
          <cell r="B3080" t="str">
            <v>ARGAMASSA TRACO 1:2:8  (CIMENTO, CAL E AREIA MEDIA NAO  PENEIRADA), PREPARO MECANICO</v>
          </cell>
          <cell r="C3080" t="str">
            <v>M3</v>
          </cell>
          <cell r="D3080">
            <v>284.77999999999997</v>
          </cell>
        </row>
        <row r="3081">
          <cell r="A3081">
            <v>6032</v>
          </cell>
          <cell r="B3081" t="str">
            <v>ARGAMASSA TRACO 1:0,5:8  (CIMENTO, CAL E AREIA MEDIA NAO  PENEIRADA), PREPARO MECANICO</v>
          </cell>
          <cell r="C3081" t="str">
            <v>M3</v>
          </cell>
          <cell r="D3081">
            <v>223.58</v>
          </cell>
        </row>
        <row r="3082">
          <cell r="A3082">
            <v>6033</v>
          </cell>
          <cell r="B3082" t="str">
            <v>ARGAMASSA TRACO 1:2:11  (CIMENTO, CAL E AREIA MEDIA NAO  PENEIRADA), PREPARO MECANICO</v>
          </cell>
          <cell r="C3082" t="str">
            <v>M3</v>
          </cell>
          <cell r="D3082">
            <v>241.27</v>
          </cell>
        </row>
        <row r="3083">
          <cell r="A3083">
            <v>6034</v>
          </cell>
          <cell r="B3083" t="str">
            <v>ARGAMASSA TRACO 1:2:11  (CIMENTO, CAL E AREIA MEDIA PENEIRADA), PREPARO MECANICO</v>
          </cell>
          <cell r="C3083" t="str">
            <v>M3</v>
          </cell>
          <cell r="D3083">
            <v>344.12</v>
          </cell>
        </row>
        <row r="3084">
          <cell r="A3084">
            <v>6036</v>
          </cell>
          <cell r="B3084" t="str">
            <v>ARGAMASSA TRACO 1:4,5  (CAL E AREIA FINA PENEIRADA), PREPARO MECANICO</v>
          </cell>
          <cell r="C3084" t="str">
            <v>M3</v>
          </cell>
          <cell r="D3084">
            <v>299.52999999999997</v>
          </cell>
        </row>
        <row r="3085">
          <cell r="A3085">
            <v>6037</v>
          </cell>
          <cell r="B3085" t="str">
            <v>ARGAMASSA TRACO 1:4  (CAL E AREIA MEDIA NÃO PENEIRADA) + 130KG CIMENTO, PREPARO MECANICO</v>
          </cell>
          <cell r="C3085" t="str">
            <v>M3</v>
          </cell>
          <cell r="D3085">
            <v>262.01</v>
          </cell>
        </row>
        <row r="3086">
          <cell r="A3086">
            <v>6039</v>
          </cell>
          <cell r="B3086" t="str">
            <v>ARGAMASSA TRACO 1:1:4  (CIMENTO, CAL E AREIA MEDIA NAO PENEIRADA), PREPARO MECANICO</v>
          </cell>
          <cell r="C3086" t="str">
            <v>M3</v>
          </cell>
          <cell r="D3086">
            <v>364.94</v>
          </cell>
        </row>
        <row r="3087">
          <cell r="A3087">
            <v>6040</v>
          </cell>
          <cell r="B3087" t="str">
            <v>ARGAMASSA TRACO 1:0,5:5  (CIMENTO, CAL E AREIA MEDIA NAO PENEIRADA), PREPARO MECANICO</v>
          </cell>
          <cell r="C3087" t="str">
            <v>M3</v>
          </cell>
          <cell r="D3087">
            <v>283.91000000000003</v>
          </cell>
        </row>
        <row r="3088">
          <cell r="A3088">
            <v>73449</v>
          </cell>
          <cell r="B3088" t="str">
            <v>ARGAMASSA CIMENTO/AREIA 1:4 - PREPARO MANUAL - P</v>
          </cell>
          <cell r="C3088" t="str">
            <v>M3</v>
          </cell>
          <cell r="D3088">
            <v>318.98</v>
          </cell>
        </row>
        <row r="3089">
          <cell r="A3089">
            <v>73455</v>
          </cell>
          <cell r="B3089" t="str">
            <v>ARGAMASSA CIMENTO/AREIA 1:4  -  PREPARO MECANICO</v>
          </cell>
          <cell r="C3089" t="str">
            <v>M3</v>
          </cell>
          <cell r="D3089">
            <v>277.63</v>
          </cell>
        </row>
        <row r="3090">
          <cell r="A3090">
            <v>73526</v>
          </cell>
          <cell r="B3090" t="str">
            <v>ARGAMASSA TRACO 1:7 (CIMENTO E AREIA), PREPARO MANUAL</v>
          </cell>
          <cell r="C3090" t="str">
            <v>M3</v>
          </cell>
          <cell r="D3090">
            <v>250.22</v>
          </cell>
        </row>
        <row r="3091">
          <cell r="A3091">
            <v>73527</v>
          </cell>
          <cell r="B3091" t="str">
            <v>ARGAMASSA TRACO 1:2 (CIMENTO E AREIA), PREPARO MANUAL</v>
          </cell>
          <cell r="C3091" t="str">
            <v>M3</v>
          </cell>
          <cell r="D3091">
            <v>432.7</v>
          </cell>
        </row>
        <row r="3092">
          <cell r="A3092">
            <v>73546</v>
          </cell>
          <cell r="B3092" t="str">
            <v>ARGAMASSA TRACO 1:2:8 (CIMENTO, CAL E AREIA SEM PENEIRAR), PREPARO MANUAL</v>
          </cell>
          <cell r="C3092" t="str">
            <v>M3</v>
          </cell>
          <cell r="D3092">
            <v>320.73</v>
          </cell>
        </row>
        <row r="3093">
          <cell r="A3093">
            <v>73548</v>
          </cell>
          <cell r="B3093" t="str">
            <v>ARGAMASSA TRACO 1:3 (CIMENTO E AREIA), PREPARO MANUAL, INCLUSO ADITIVO IMPERMEABILIZANTE</v>
          </cell>
          <cell r="C3093" t="str">
            <v>M3</v>
          </cell>
          <cell r="D3093">
            <v>424.59</v>
          </cell>
        </row>
        <row r="3094">
          <cell r="A3094">
            <v>73549</v>
          </cell>
          <cell r="B3094" t="str">
            <v>ARGAMASSA TRACO 1:4 (CIMENTO E AREIA), PREPARO MANUAL, INCLUSO ADITIVO IMPERMEABILIZANTE</v>
          </cell>
          <cell r="C3094" t="str">
            <v>M3</v>
          </cell>
          <cell r="D3094">
            <v>439.47</v>
          </cell>
        </row>
        <row r="3095">
          <cell r="A3095">
            <v>73551</v>
          </cell>
          <cell r="B3095" t="str">
            <v>ARGAMASSA TRACO 1:4 (CIMENTO E PEDRISCO), PREPARO MANUAL</v>
          </cell>
          <cell r="C3095" t="str">
            <v>M3</v>
          </cell>
          <cell r="D3095">
            <v>277.68</v>
          </cell>
        </row>
        <row r="3096">
          <cell r="A3096">
            <v>73552</v>
          </cell>
          <cell r="B3096" t="str">
            <v>ARGAMASSA TRACO 1:6 (CIMENTO E AREIA), PREPARO MANUAL</v>
          </cell>
          <cell r="C3096" t="str">
            <v>M3</v>
          </cell>
          <cell r="D3096">
            <v>265.55</v>
          </cell>
        </row>
        <row r="3097">
          <cell r="A3097">
            <v>79749</v>
          </cell>
          <cell r="B3097" t="str">
            <v>ARGAMASSA CIMENTO/AREIA 1:10 - PREPARO MANUAL</v>
          </cell>
          <cell r="C3097" t="str">
            <v>M3</v>
          </cell>
          <cell r="D3097">
            <v>227.98</v>
          </cell>
        </row>
        <row r="3098">
          <cell r="A3098">
            <v>84099</v>
          </cell>
          <cell r="B3098" t="str">
            <v>ARGAMASSA CIMENTO/CAL/AREIA 1:0,25:3 - PREPARO MANUAL</v>
          </cell>
          <cell r="C3098" t="str">
            <v>M3</v>
          </cell>
          <cell r="D3098">
            <v>399.1</v>
          </cell>
        </row>
        <row r="3099">
          <cell r="A3099">
            <v>84100</v>
          </cell>
          <cell r="B3099" t="str">
            <v>ARGAMASSA GROUT CIMENTO/CAL/AREIA/PEDRISCO 1:0,1:3:2 - PREPARO MANUAL</v>
          </cell>
          <cell r="C3099" t="str">
            <v>M3</v>
          </cell>
          <cell r="D3099">
            <v>420.44</v>
          </cell>
        </row>
        <row r="3100">
          <cell r="A3100">
            <v>84101</v>
          </cell>
          <cell r="B3100" t="str">
            <v>ARGAMASSA CIMENTO/AREIA/SAIBRO 1:2:2 - PREPARO MANUAL</v>
          </cell>
          <cell r="C3100" t="str">
            <v>M3</v>
          </cell>
          <cell r="D3100">
            <v>264.69</v>
          </cell>
        </row>
        <row r="3101">
          <cell r="A3101" t="str">
            <v>73901/1</v>
          </cell>
          <cell r="B3101" t="str">
            <v>TRANSPORTE VERTICAL MANUAL DE MATERIAIS DIVERSOS A 1ª LAJE</v>
          </cell>
          <cell r="C3101" t="str">
            <v>M3</v>
          </cell>
          <cell r="D3101">
            <v>16.03</v>
          </cell>
        </row>
        <row r="3102">
          <cell r="A3102" t="str">
            <v>73901/2</v>
          </cell>
          <cell r="B3102" t="str">
            <v>TRANSPORTE VERTICAL MANUAL DE MATERIAIS DIVERSOS A 2ª LAJE</v>
          </cell>
          <cell r="C3102" t="str">
            <v>M3</v>
          </cell>
          <cell r="D3102">
            <v>38.479999999999997</v>
          </cell>
        </row>
        <row r="3103">
          <cell r="A3103" t="str">
            <v>73901/3</v>
          </cell>
          <cell r="B3103" t="str">
            <v>TRANSPORTE VERTICAL MANUAL DE MATERIAIS DIVERSOS A 1ª LAJE</v>
          </cell>
          <cell r="C3103" t="str">
            <v>T</v>
          </cell>
          <cell r="D3103">
            <v>32.07</v>
          </cell>
        </row>
        <row r="3104">
          <cell r="A3104" t="str">
            <v>73901/4</v>
          </cell>
          <cell r="B3104" t="str">
            <v>TRANSPORTE VERTICAL MANUAL DE MATERIAIS DIVERSOS A 2ª LAJE</v>
          </cell>
          <cell r="C3104" t="str">
            <v>T</v>
          </cell>
          <cell r="D3104">
            <v>53.14</v>
          </cell>
        </row>
        <row r="3105">
          <cell r="A3105" t="str">
            <v>74023/1</v>
          </cell>
          <cell r="B3105" t="str">
            <v>TRANSPORTE HORIZONTAL DE MATERIAIS DIVERSOS A 30M</v>
          </cell>
          <cell r="C3105" t="str">
            <v>M3</v>
          </cell>
          <cell r="D3105">
            <v>21.99</v>
          </cell>
        </row>
        <row r="3106">
          <cell r="A3106" t="str">
            <v>74023/2</v>
          </cell>
          <cell r="B3106" t="str">
            <v>TRANSPORTE HORIZONTAL DE MATERIAIS DIVERSOS A 40M</v>
          </cell>
          <cell r="C3106" t="str">
            <v>M3</v>
          </cell>
          <cell r="D3106">
            <v>24.74</v>
          </cell>
        </row>
        <row r="3107">
          <cell r="A3107" t="str">
            <v>74023/3</v>
          </cell>
          <cell r="B3107" t="str">
            <v>TRANSPORTE HORIZONTAL DE MATERIAIS DIVERSOS A 50M</v>
          </cell>
          <cell r="C3107" t="str">
            <v>M3</v>
          </cell>
          <cell r="D3107">
            <v>26.57</v>
          </cell>
        </row>
        <row r="3108">
          <cell r="A3108" t="str">
            <v>74023/4</v>
          </cell>
          <cell r="B3108" t="str">
            <v>TRANSPORTE HORIZONTAL DE MATERIAIS DIVERSOS A 60M</v>
          </cell>
          <cell r="C3108" t="str">
            <v>M3</v>
          </cell>
          <cell r="D3108">
            <v>27.94</v>
          </cell>
        </row>
        <row r="3109">
          <cell r="A3109" t="str">
            <v>74023/5</v>
          </cell>
          <cell r="B3109" t="str">
            <v>TRANSPORTE HORIZONTAL DE MATERIAIS DIVERSOS A 100M</v>
          </cell>
          <cell r="C3109" t="str">
            <v>M3</v>
          </cell>
          <cell r="D3109">
            <v>36.65</v>
          </cell>
        </row>
        <row r="3110">
          <cell r="A3110" t="str">
            <v>74023/6</v>
          </cell>
          <cell r="B3110" t="str">
            <v>TRANSPORTE HORIZONTAL DE MATERIAIS DIVERSOS A 30M</v>
          </cell>
          <cell r="C3110" t="str">
            <v>T</v>
          </cell>
          <cell r="D3110">
            <v>13.74</v>
          </cell>
        </row>
        <row r="3111">
          <cell r="A3111" t="str">
            <v>74023/7</v>
          </cell>
          <cell r="B3111" t="str">
            <v>TRANSPORTE HORIZONTAL DE MATERIAIS DIVERSOS A 40M</v>
          </cell>
          <cell r="C3111" t="str">
            <v>T</v>
          </cell>
          <cell r="D3111">
            <v>15.11</v>
          </cell>
        </row>
        <row r="3112">
          <cell r="A3112" t="str">
            <v>74023/8</v>
          </cell>
          <cell r="B3112" t="str">
            <v>TRANSPORTE HORIZONTAL DE MATERIAIS DIVERSOS A 50M</v>
          </cell>
          <cell r="C3112" t="str">
            <v>T</v>
          </cell>
          <cell r="D3112">
            <v>16.489999999999998</v>
          </cell>
        </row>
        <row r="3113">
          <cell r="A3113" t="str">
            <v>74023/9</v>
          </cell>
          <cell r="B3113" t="str">
            <v>TRANSPORTE HORIZONTAL DE MATERIAIS DIVERSOS A 60M</v>
          </cell>
          <cell r="C3113" t="str">
            <v>T</v>
          </cell>
          <cell r="D3113">
            <v>17.86</v>
          </cell>
        </row>
        <row r="3114">
          <cell r="A3114" t="str">
            <v>74023/10</v>
          </cell>
          <cell r="B3114" t="str">
            <v>TRANSPORTE HORIZONTAL DE MATERIAIS DIVERSOS A 100M</v>
          </cell>
          <cell r="C3114" t="str">
            <v>T</v>
          </cell>
          <cell r="D3114">
            <v>22.44</v>
          </cell>
        </row>
        <row r="3115">
          <cell r="A3115">
            <v>9537</v>
          </cell>
          <cell r="B3115" t="str">
            <v>LIMPEZA FINAL DA OBRA</v>
          </cell>
          <cell r="C3115" t="str">
            <v>M2</v>
          </cell>
          <cell r="D3115">
            <v>1.44</v>
          </cell>
        </row>
        <row r="3116">
          <cell r="A3116" t="str">
            <v>73745/1</v>
          </cell>
          <cell r="B3116" t="str">
            <v>LIMPEZA DE ESTRUTURAL DE ACO OU CONCRETO COM JATEAMENTO DE AREIA</v>
          </cell>
          <cell r="C3116" t="str">
            <v>M2</v>
          </cell>
          <cell r="D3116">
            <v>6.6</v>
          </cell>
        </row>
        <row r="3117">
          <cell r="A3117" t="str">
            <v>73800/1</v>
          </cell>
          <cell r="B3117" t="str">
            <v>LIMPEZA E POLIMENTO MECANIZADO EM PISO ALTA RESISTENCIA, UTILIZANDO ESTUQUE COM ADESIVO, CIMENTO BRANCO E CORANTE</v>
          </cell>
          <cell r="C3117" t="str">
            <v>M2</v>
          </cell>
          <cell r="D3117">
            <v>25.7</v>
          </cell>
        </row>
        <row r="3118">
          <cell r="A3118" t="str">
            <v>73806/1</v>
          </cell>
          <cell r="B3118" t="str">
            <v>LIMPEZA DE SUPERFICIES COM JATO DE ALTA PRESSAO DE AR E AGUA</v>
          </cell>
          <cell r="C3118" t="str">
            <v>M2</v>
          </cell>
          <cell r="D3118">
            <v>0.94</v>
          </cell>
        </row>
        <row r="3119">
          <cell r="A3119" t="str">
            <v>73948/2</v>
          </cell>
          <cell r="B3119" t="str">
            <v>LIMPEZA/PREPARO SUPERFICIE CONCRETO P/PINTURA</v>
          </cell>
          <cell r="C3119" t="str">
            <v>M2</v>
          </cell>
          <cell r="D3119">
            <v>4.8899999999999997</v>
          </cell>
        </row>
        <row r="3120">
          <cell r="A3120" t="str">
            <v>73948/3</v>
          </cell>
          <cell r="B3120" t="str">
            <v>LIMPEZA AZULEJO</v>
          </cell>
          <cell r="C3120" t="str">
            <v>M2</v>
          </cell>
          <cell r="D3120">
            <v>3.36</v>
          </cell>
        </row>
        <row r="3121">
          <cell r="A3121" t="str">
            <v>73948/4</v>
          </cell>
          <cell r="B3121" t="str">
            <v>LIMPEZA E LAVAGEM DE PASTILHAS</v>
          </cell>
          <cell r="C3121" t="str">
            <v>M2</v>
          </cell>
          <cell r="D3121">
            <v>4.9000000000000004</v>
          </cell>
        </row>
        <row r="3122">
          <cell r="A3122" t="str">
            <v>73948/5</v>
          </cell>
          <cell r="B3122" t="str">
            <v>LIMPEZA CHAPA MELAMINICA EM PAREDE</v>
          </cell>
          <cell r="C3122" t="str">
            <v>M2</v>
          </cell>
          <cell r="D3122">
            <v>3.44</v>
          </cell>
        </row>
        <row r="3123">
          <cell r="A3123" t="str">
            <v>73948/6</v>
          </cell>
          <cell r="B3123" t="str">
            <v>LIMPEZA LAMBRI ALUMINIO</v>
          </cell>
          <cell r="C3123" t="str">
            <v>M2</v>
          </cell>
          <cell r="D3123">
            <v>7.76</v>
          </cell>
        </row>
        <row r="3124">
          <cell r="A3124" t="str">
            <v>73948/7</v>
          </cell>
          <cell r="B3124" t="str">
            <v>LIMPEZA ESQUADRIA FERRO C/SOLVENTE</v>
          </cell>
          <cell r="C3124" t="str">
            <v>M2</v>
          </cell>
          <cell r="D3124">
            <v>13.74</v>
          </cell>
        </row>
        <row r="3125">
          <cell r="A3125" t="str">
            <v>73948/8</v>
          </cell>
          <cell r="B3125" t="str">
            <v>LIMPEZA VIDRO COMUM</v>
          </cell>
          <cell r="C3125" t="str">
            <v>M2</v>
          </cell>
          <cell r="D3125">
            <v>6.65</v>
          </cell>
        </row>
        <row r="3126">
          <cell r="A3126" t="str">
            <v>73948/9</v>
          </cell>
          <cell r="B3126" t="str">
            <v>LIMPEZA FORRO</v>
          </cell>
          <cell r="C3126" t="str">
            <v>M2</v>
          </cell>
          <cell r="D3126">
            <v>14.05</v>
          </cell>
        </row>
        <row r="3127">
          <cell r="A3127" t="str">
            <v>73948/10</v>
          </cell>
          <cell r="B3127" t="str">
            <v>LIMPEZA PISO MARMORE/GRANITO</v>
          </cell>
          <cell r="C3127" t="str">
            <v>M2</v>
          </cell>
          <cell r="D3127">
            <v>12.83</v>
          </cell>
        </row>
        <row r="3128">
          <cell r="A3128" t="str">
            <v>73948/11</v>
          </cell>
          <cell r="B3128" t="str">
            <v>LIMPEZA PISO CERAMICO</v>
          </cell>
          <cell r="C3128" t="str">
            <v>M2</v>
          </cell>
          <cell r="D3128">
            <v>11.86</v>
          </cell>
        </row>
        <row r="3129">
          <cell r="A3129" t="str">
            <v>73948/12</v>
          </cell>
          <cell r="B3129" t="str">
            <v>LIMPEZA PISO PLACA BORRACHA C/ENCERAMENTO</v>
          </cell>
          <cell r="C3129" t="str">
            <v>M2</v>
          </cell>
          <cell r="D3129">
            <v>14.51</v>
          </cell>
        </row>
        <row r="3130">
          <cell r="A3130" t="str">
            <v>73948/13</v>
          </cell>
          <cell r="B3130" t="str">
            <v>LIMPEZA PISO PLACA BORRACHA</v>
          </cell>
          <cell r="C3130" t="str">
            <v>M2</v>
          </cell>
          <cell r="D3130">
            <v>5.35</v>
          </cell>
        </row>
        <row r="3131">
          <cell r="A3131" t="str">
            <v>73948/14</v>
          </cell>
          <cell r="B3131" t="str">
            <v>LIMPEZA PISO CIMENTADO</v>
          </cell>
          <cell r="C3131" t="str">
            <v>M2</v>
          </cell>
          <cell r="D3131">
            <v>6.7</v>
          </cell>
        </row>
        <row r="3132">
          <cell r="A3132" t="str">
            <v>73948/15</v>
          </cell>
          <cell r="B3132" t="str">
            <v>LIMPEZA PISO MARMORITE/GRANILITE</v>
          </cell>
          <cell r="C3132" t="str">
            <v>M2</v>
          </cell>
          <cell r="D3132">
            <v>8.0399999999999991</v>
          </cell>
        </row>
        <row r="3133">
          <cell r="A3133" t="str">
            <v>73948/16</v>
          </cell>
          <cell r="B3133" t="str">
            <v>LIMPEZA MANUAL DO TERRENO (C/ RASPAGEM SUPERFICIAL)</v>
          </cell>
          <cell r="C3133" t="str">
            <v>M2</v>
          </cell>
          <cell r="D3133">
            <v>2.29</v>
          </cell>
        </row>
        <row r="3134">
          <cell r="A3134" t="str">
            <v>74086/1</v>
          </cell>
          <cell r="B3134" t="str">
            <v>LIMPEZA LOUCAS E METAIS</v>
          </cell>
          <cell r="C3134" t="str">
            <v>UN</v>
          </cell>
          <cell r="D3134">
            <v>14.8</v>
          </cell>
        </row>
        <row r="3135">
          <cell r="A3135" t="str">
            <v>74243/1</v>
          </cell>
          <cell r="B3135" t="str">
            <v>LIMPEZA GERAL DE QUADRA POLIESPORTIVA</v>
          </cell>
          <cell r="C3135" t="str">
            <v>M2</v>
          </cell>
          <cell r="D3135">
            <v>1.28</v>
          </cell>
        </row>
        <row r="3136">
          <cell r="A3136">
            <v>84115</v>
          </cell>
          <cell r="B3136" t="str">
            <v>LIMPEZA DE ESTRUTURA METALICA SEM ANDAIME</v>
          </cell>
          <cell r="C3136" t="str">
            <v>M2</v>
          </cell>
          <cell r="D3136">
            <v>1.7</v>
          </cell>
        </row>
        <row r="3137">
          <cell r="A3137">
            <v>84117</v>
          </cell>
          <cell r="B3137" t="str">
            <v>RASPAGEM / CALAFETACAO TACOS MADEIRA 1 DEMAO CERA</v>
          </cell>
          <cell r="C3137" t="str">
            <v>M2</v>
          </cell>
          <cell r="D3137">
            <v>11.67</v>
          </cell>
        </row>
        <row r="3138">
          <cell r="A3138">
            <v>84119</v>
          </cell>
          <cell r="B3138" t="str">
            <v>ENCERAMENTO MANUAL PISO DE QUALQUER NATUREZA - 2 DEMAOS</v>
          </cell>
          <cell r="C3138" t="str">
            <v>M2</v>
          </cell>
          <cell r="D3138">
            <v>5.66</v>
          </cell>
        </row>
        <row r="3139">
          <cell r="A3139">
            <v>84120</v>
          </cell>
          <cell r="B3139" t="str">
            <v>ENCERAMENTO MANUAL EM MADEIRA - 3 DEMAOS</v>
          </cell>
          <cell r="C3139" t="str">
            <v>M2</v>
          </cell>
          <cell r="D3139">
            <v>8.74</v>
          </cell>
        </row>
        <row r="3140">
          <cell r="A3140">
            <v>84121</v>
          </cell>
          <cell r="B3140" t="str">
            <v>PLACA IDENTIFICACAO ACRILICO 25X8CM BORDA POLIDA - FORNECIMENTO E COLOCACAO</v>
          </cell>
          <cell r="C3140" t="str">
            <v>UN</v>
          </cell>
          <cell r="D3140">
            <v>81.290000000000006</v>
          </cell>
        </row>
        <row r="3141">
          <cell r="A3141">
            <v>84122</v>
          </cell>
          <cell r="B3141" t="str">
            <v>PLACA INAUGURACAO EM ALUMINIO 0,40X0,60M FORNECIMENTO E COLOCACAO</v>
          </cell>
          <cell r="C3141" t="str">
            <v>UN</v>
          </cell>
          <cell r="D3141">
            <v>466</v>
          </cell>
        </row>
        <row r="3142">
          <cell r="A3142">
            <v>84123</v>
          </cell>
          <cell r="B3142" t="str">
            <v>LIXAMENTO MAN C/ LIXA CALAFATE DE CONCR APARENTE ANTIGO</v>
          </cell>
          <cell r="C3142" t="str">
            <v>M2</v>
          </cell>
          <cell r="D3142">
            <v>3.26</v>
          </cell>
        </row>
        <row r="3143">
          <cell r="A3143">
            <v>84124</v>
          </cell>
          <cell r="B3143" t="str">
            <v>LETRA DE ACO INOX NO22 ALT=20CM FORNECIMENTO E COLOCACAO</v>
          </cell>
          <cell r="C3143" t="str">
            <v>UN</v>
          </cell>
          <cell r="D3143">
            <v>72.510000000000005</v>
          </cell>
        </row>
        <row r="3144">
          <cell r="A3144">
            <v>84125</v>
          </cell>
          <cell r="B3144" t="str">
            <v>LIMPEZA DE REVESTIMENTO EM PAREDE C/ SOLUCAO DE ACIDO MURIATICO/AMONIA</v>
          </cell>
          <cell r="C3144" t="str">
            <v>M2</v>
          </cell>
          <cell r="D3144">
            <v>4.63</v>
          </cell>
        </row>
        <row r="3145">
          <cell r="A3145" t="str">
            <v>74163/1</v>
          </cell>
          <cell r="B3145" t="str">
            <v>PERFURACAO DE POCO COM PERFURATRIZ PNEUMATICA</v>
          </cell>
          <cell r="C3145" t="str">
            <v>M</v>
          </cell>
          <cell r="D3145">
            <v>22.27</v>
          </cell>
        </row>
        <row r="3146">
          <cell r="A3146" t="str">
            <v>74163/2</v>
          </cell>
          <cell r="B3146" t="str">
            <v>PERFURACAO DE POCO COM PERFURATRIZ A PERCUSSAO</v>
          </cell>
          <cell r="C3146" t="str">
            <v>M</v>
          </cell>
          <cell r="D3146">
            <v>56.79</v>
          </cell>
        </row>
        <row r="3147">
          <cell r="A3147">
            <v>84127</v>
          </cell>
          <cell r="B3147" t="str">
            <v>REVESTIMENTO DE POCOS C/ TUBOS DE CONCRETO</v>
          </cell>
          <cell r="C3147" t="str">
            <v>M</v>
          </cell>
          <cell r="D3147">
            <v>334.6</v>
          </cell>
        </row>
        <row r="3148">
          <cell r="A3148">
            <v>84128</v>
          </cell>
          <cell r="B3148" t="str">
            <v>ABERTURA POCO PARA CISTERNA TERRENO COMPACTO COM DN 1,0M COM PROFUNDIDADES DE 15 A 20M</v>
          </cell>
          <cell r="C3148" t="str">
            <v>M</v>
          </cell>
          <cell r="D3148">
            <v>106.5</v>
          </cell>
        </row>
        <row r="3149">
          <cell r="A3149">
            <v>84129</v>
          </cell>
          <cell r="B3149" t="str">
            <v>ABERTURA POCO PARA CISTERNA TERRENO COMPACTO COM DN 1,0M PROFUNDIDADE DE 10 A 15M</v>
          </cell>
          <cell r="C3149" t="str">
            <v>M</v>
          </cell>
          <cell r="D3149">
            <v>85.2</v>
          </cell>
        </row>
        <row r="3150">
          <cell r="A3150">
            <v>84130</v>
          </cell>
          <cell r="B3150" t="str">
            <v>ABERTURA POCO PARA CISTERNA TERRENO COMPACTO COM DN 1,0 COM PROFUNDIDADE DE 5 A 10M</v>
          </cell>
          <cell r="C3150" t="str">
            <v>M</v>
          </cell>
          <cell r="D3150">
            <v>63.9</v>
          </cell>
        </row>
        <row r="3151">
          <cell r="A3151">
            <v>84131</v>
          </cell>
          <cell r="B3151" t="str">
            <v>ABERTURA POCO PARA CISTERNA TERRENO COMPACTO COM DN 1,0 COM PROFUNDIDADEATE 5M</v>
          </cell>
          <cell r="C3151" t="str">
            <v>M</v>
          </cell>
          <cell r="D3151">
            <v>53.25</v>
          </cell>
        </row>
        <row r="3152">
          <cell r="A3152">
            <v>40841</v>
          </cell>
          <cell r="B3152" t="str">
            <v>ABRACADEIRA P/POCOS PROFUNDOS</v>
          </cell>
          <cell r="C3152" t="str">
            <v>UN</v>
          </cell>
          <cell r="D3152">
            <v>70.489999999999995</v>
          </cell>
        </row>
        <row r="3153">
          <cell r="A3153">
            <v>6391</v>
          </cell>
          <cell r="B3153" t="str">
            <v>SOLDA TOPO DESCENDENTE CHANFRADA ESPESSURA=1/4" CHAPA/PERFIL/TUBO ACO COM CONVERSOR DIESEL.</v>
          </cell>
          <cell r="C3153" t="str">
            <v>M</v>
          </cell>
          <cell r="D3153">
            <v>95.6</v>
          </cell>
        </row>
        <row r="3154">
          <cell r="A3154">
            <v>84132</v>
          </cell>
          <cell r="B3154" t="str">
            <v>SOLDA DE TOPO DESCENDENTE, EM CHAPA ACO CHANFR 5/16" ESP (P/ ASSENT TUBULACAO OU PECA DE ACO) UTILIZANDO CONVERSOR DIESEL.</v>
          </cell>
          <cell r="C3154" t="str">
            <v>M</v>
          </cell>
          <cell r="D3154">
            <v>94.35</v>
          </cell>
        </row>
        <row r="3155">
          <cell r="A3155">
            <v>84133</v>
          </cell>
          <cell r="B3155" t="str">
            <v>SOLDA DE TOPO DESCENDENTE, EM CHAPA ACO CHANFR 3/8" ESP (P/ ASSENT TUBULACAO OU PECA DE ACO) UTILIZANDO CONVERSOR DIESEL</v>
          </cell>
          <cell r="C3155" t="str">
            <v>M</v>
          </cell>
          <cell r="D3155">
            <v>200.1</v>
          </cell>
        </row>
        <row r="3156">
          <cell r="A3156">
            <v>4877</v>
          </cell>
          <cell r="B3156" t="str">
            <v>BETONEIRA 320L ELETRICA TRIFASICA C/CARREGADOR MECANICO C/OPERADOR - P</v>
          </cell>
          <cell r="C3156" t="str">
            <v>H</v>
          </cell>
          <cell r="D3156">
            <v>19.3</v>
          </cell>
        </row>
        <row r="3157">
          <cell r="A3157">
            <v>71516</v>
          </cell>
          <cell r="B3157" t="str">
            <v>CONJUNTO DE MANGUEIRA PARA COMBATE A INCENDIO EM FIBRA DE POLIESTER PURA, COM 1.1/2", REVESTIDA INTERNAMENTE, COM 2 LANCES DE 15M CADA</v>
          </cell>
          <cell r="C3157" t="str">
            <v>UN</v>
          </cell>
          <cell r="D3157">
            <v>304.95999999999998</v>
          </cell>
        </row>
        <row r="3158">
          <cell r="A3158">
            <v>73347</v>
          </cell>
          <cell r="B3158" t="str">
            <v>CORTE, DOBRAGEM, MONTAGEM E COLOCAÇÃO DE FERRAGEM NA FORMA, AÇO CA-50, EM BARRA REDONDA COM DIÂMETRO DE 8 A 12,5MM</v>
          </cell>
          <cell r="C3158" t="str">
            <v>KG</v>
          </cell>
          <cell r="D3158">
            <v>2.13</v>
          </cell>
        </row>
        <row r="3159">
          <cell r="A3159">
            <v>73361</v>
          </cell>
          <cell r="B3159" t="str">
            <v>CONCRETO CICLOPICO FCK=10MPA 30% PEDRA DE MAO INCLUSIVE LANCAMENTO</v>
          </cell>
          <cell r="C3159" t="str">
            <v>M3</v>
          </cell>
          <cell r="D3159">
            <v>276.13</v>
          </cell>
        </row>
        <row r="3160">
          <cell r="A3160">
            <v>73370</v>
          </cell>
          <cell r="B3160" t="str">
            <v>TRANSPORTE QQ NAT CAM BASCULANTE 30 KM/H 8.00 T EXCL  DESPE-          SA CARGA/DESC ESPERA DO CAMINHAO/SERVENTE/E OU EQUIP AUX.</v>
          </cell>
          <cell r="C3160" t="str">
            <v>T/KM</v>
          </cell>
          <cell r="D3160">
            <v>0.95</v>
          </cell>
        </row>
        <row r="3161">
          <cell r="A3161">
            <v>73372</v>
          </cell>
          <cell r="B3161" t="str">
            <v>PINHO DE TERCEIRA 1" X 12" E 1" X 9"</v>
          </cell>
          <cell r="C3161" t="str">
            <v>M2</v>
          </cell>
          <cell r="D3161">
            <v>26.63</v>
          </cell>
        </row>
        <row r="3162">
          <cell r="A3162">
            <v>73375</v>
          </cell>
          <cell r="B3162" t="str">
            <v>CORTE ACO CA-5AB OU CA 50-A DIAM ACIMA 12,5MM</v>
          </cell>
          <cell r="C3162" t="str">
            <v>KG</v>
          </cell>
          <cell r="D3162">
            <v>1.82</v>
          </cell>
        </row>
        <row r="3163">
          <cell r="A3163">
            <v>73393</v>
          </cell>
          <cell r="B3163" t="str">
            <v>CORTE ACO CA-25 DIAM 6,3 A 8,0MM</v>
          </cell>
          <cell r="C3163" t="str">
            <v>KG</v>
          </cell>
          <cell r="D3163">
            <v>2.0299999999999998</v>
          </cell>
        </row>
        <row r="3164">
          <cell r="A3164">
            <v>73396</v>
          </cell>
          <cell r="B3164" t="str">
            <v>DEGRAU DE FERRO FUNDIDO NUM 1 DE 3,0 KG</v>
          </cell>
          <cell r="C3164" t="str">
            <v>UN</v>
          </cell>
          <cell r="D3164">
            <v>52</v>
          </cell>
        </row>
        <row r="3165">
          <cell r="A3165">
            <v>73397</v>
          </cell>
          <cell r="B3165" t="str">
            <v>EMBOCO CIMENTO AREIA 1:4 ESP=1,5CM INCL CHAPISCO 1:3 E=9MM</v>
          </cell>
          <cell r="C3165" t="str">
            <v>M2</v>
          </cell>
          <cell r="D3165">
            <v>18.260000000000002</v>
          </cell>
        </row>
        <row r="3166">
          <cell r="A3166">
            <v>73410</v>
          </cell>
          <cell r="B3166" t="str">
            <v>FORMA PLANA P/VIGA, PILAR E PAREDE EM CHAPA RESINADA E= 10 MM</v>
          </cell>
          <cell r="C3166" t="str">
            <v>M2</v>
          </cell>
          <cell r="D3166">
            <v>45.65</v>
          </cell>
        </row>
        <row r="3167">
          <cell r="A3167">
            <v>73413</v>
          </cell>
          <cell r="B3167" t="str">
            <v>ESCAVACAO MEC.VALA N ESCOR ATE 1,5M C/RETRO MAT 1A COM REDUTOR (PEDRAS/INST PREDIAIS/OUTROS REDUT PRODUT OU CAVAS FUNDACAO) -  EXCL. ESGOTAMENTO</v>
          </cell>
          <cell r="C3167" t="str">
            <v>M3</v>
          </cell>
          <cell r="D3167">
            <v>14.59</v>
          </cell>
        </row>
        <row r="3168">
          <cell r="A3168">
            <v>73415</v>
          </cell>
          <cell r="B3168" t="str">
            <v>PINTURA PVA, TRES DEMAOS</v>
          </cell>
          <cell r="C3168" t="str">
            <v>M2</v>
          </cell>
          <cell r="D3168">
            <v>10.9</v>
          </cell>
        </row>
        <row r="3169">
          <cell r="A3169">
            <v>73418</v>
          </cell>
          <cell r="B3169" t="str">
            <v>ALVENARIA P/CX ENTERR ATE 0,80M C/BL CONC 10X20X40CM C/ARGAMASSA 1:4  CIMENTO E AREIA E CONCRETO 20MPA P/ENCHIMENTO DOS FUROS.</v>
          </cell>
          <cell r="C3169" t="str">
            <v>M2</v>
          </cell>
          <cell r="D3169">
            <v>52.06</v>
          </cell>
        </row>
        <row r="3170">
          <cell r="A3170">
            <v>73423</v>
          </cell>
          <cell r="B3170" t="str">
            <v>ALVENARIA TIJOLO MACICO 7X10X20CM CIM/SB/AR 1:2:2 PROF=80A160CM 1 VEZ P/CAIXAS ENTERRADAS</v>
          </cell>
          <cell r="C3170" t="str">
            <v>M2</v>
          </cell>
          <cell r="D3170">
            <v>144.57</v>
          </cell>
        </row>
        <row r="3171">
          <cell r="A3171">
            <v>73426</v>
          </cell>
          <cell r="B3171" t="str">
            <v>PERFURACAO MANUAL DIAMETRO 20 CM (5 TF)</v>
          </cell>
          <cell r="C3171" t="str">
            <v>M</v>
          </cell>
          <cell r="D3171">
            <v>44.35</v>
          </cell>
        </row>
        <row r="3172">
          <cell r="A3172">
            <v>73430</v>
          </cell>
          <cell r="B3172" t="str">
            <v>ESCAVACAO MEC. VALA N ESCOR MAT 1A C/RETRO ENTRE 1,5 E 3M C/ REDUTOR (PEDRAS/INST PREDIAIS/OUTROS REDUT.PRODUTIV OU CAVAS FUNDACAO ) - EXCL. ESGOTAMENTO.</v>
          </cell>
          <cell r="C3172" t="str">
            <v>M3</v>
          </cell>
          <cell r="D3172">
            <v>17.75</v>
          </cell>
        </row>
        <row r="3173">
          <cell r="A3173">
            <v>73431</v>
          </cell>
          <cell r="B3173" t="str">
            <v>PINHO TERCEIRA  2,5X10CM</v>
          </cell>
          <cell r="C3173" t="str">
            <v>M</v>
          </cell>
          <cell r="D3173">
            <v>2.73</v>
          </cell>
        </row>
        <row r="3174">
          <cell r="A3174">
            <v>73454</v>
          </cell>
          <cell r="B3174" t="str">
            <v>ALUGUEL CAMINHAO CARROC FIXA TOCO 7,5T MOTOR DIESEL 132CV(CP) C/MOTO  RISTA</v>
          </cell>
          <cell r="C3174" t="str">
            <v>H</v>
          </cell>
          <cell r="D3174">
            <v>96.08</v>
          </cell>
        </row>
        <row r="3175">
          <cell r="A3175">
            <v>73460</v>
          </cell>
          <cell r="B3175" t="str">
            <v>MACARANDUBA APARELHADA 3" X 4.1/2"</v>
          </cell>
          <cell r="C3175" t="str">
            <v>M</v>
          </cell>
          <cell r="D3175">
            <v>27.11</v>
          </cell>
        </row>
        <row r="3176">
          <cell r="A3176">
            <v>73475</v>
          </cell>
          <cell r="B3176" t="str">
            <v>TACO DE ALVENARIA (2,5X10X20)CM</v>
          </cell>
          <cell r="C3176" t="str">
            <v>UN</v>
          </cell>
          <cell r="D3176">
            <v>0.56999999999999995</v>
          </cell>
        </row>
        <row r="3177">
          <cell r="A3177">
            <v>73488</v>
          </cell>
          <cell r="B3177" t="str">
            <v>MACARANDUBA APARELHADA 3" X 6"</v>
          </cell>
          <cell r="C3177" t="str">
            <v>M</v>
          </cell>
          <cell r="D3177">
            <v>35.4</v>
          </cell>
        </row>
        <row r="3178">
          <cell r="A3178">
            <v>73489</v>
          </cell>
          <cell r="B3178" t="str">
            <v>MACARANDUBA APARELHADA DE 3" X 9"</v>
          </cell>
          <cell r="C3178" t="str">
            <v>M</v>
          </cell>
          <cell r="D3178">
            <v>54.25</v>
          </cell>
        </row>
        <row r="3179">
          <cell r="A3179">
            <v>73490</v>
          </cell>
          <cell r="B3179" t="str">
            <v>TUBO CA-1 CONCR ARMADO P/GALERIAS AGUAS PLUV DIAM=0,80M FORNEC MAT    COM AREIA CIMENTO 1:4 - FORNECIMENTO E ASSENTAMENTO, INCLUSIVE TOPOGRAFO</v>
          </cell>
          <cell r="C3179" t="str">
            <v>M</v>
          </cell>
          <cell r="D3179">
            <v>224.42</v>
          </cell>
        </row>
        <row r="3180">
          <cell r="A3180">
            <v>73493</v>
          </cell>
          <cell r="B3180" t="str">
            <v>TEODOLITO CONVENCIONAL DE MICROMETRO C/LEITURA NUMERICA (CP) PRECISAO DE 6S PARA LEVANTAMENTO DE TERRENOS DIVERSOS</v>
          </cell>
          <cell r="C3180" t="str">
            <v>H</v>
          </cell>
          <cell r="D3180">
            <v>2.2999999999999998</v>
          </cell>
        </row>
        <row r="3181">
          <cell r="A3181">
            <v>73503</v>
          </cell>
          <cell r="B3181" t="str">
            <v>TRANSPORTE DE TUBOS DE PVC DN 1000</v>
          </cell>
          <cell r="C3181" t="str">
            <v>M</v>
          </cell>
          <cell r="D3181">
            <v>5.34</v>
          </cell>
        </row>
        <row r="3182">
          <cell r="A3182">
            <v>73504</v>
          </cell>
          <cell r="B3182" t="str">
            <v>TRANSPORTE DE TUBOS DE PVC DN 900</v>
          </cell>
          <cell r="C3182" t="str">
            <v>M</v>
          </cell>
          <cell r="D3182">
            <v>4.51</v>
          </cell>
        </row>
        <row r="3183">
          <cell r="A3183">
            <v>73505</v>
          </cell>
          <cell r="B3183" t="str">
            <v>TRANSPORTE DE TUBOS DE PVC DN 800</v>
          </cell>
          <cell r="C3183" t="str">
            <v>M</v>
          </cell>
          <cell r="D3183">
            <v>3.73</v>
          </cell>
        </row>
        <row r="3184">
          <cell r="A3184">
            <v>73506</v>
          </cell>
          <cell r="B3184" t="str">
            <v>TRANSPORTE DE TUBOS DE PVC DN 700</v>
          </cell>
          <cell r="C3184" t="str">
            <v>M</v>
          </cell>
          <cell r="D3184">
            <v>3.03</v>
          </cell>
        </row>
        <row r="3185">
          <cell r="A3185">
            <v>73507</v>
          </cell>
          <cell r="B3185" t="str">
            <v>TRANSPORTE DE TUBOS DE PVC DN 600</v>
          </cell>
          <cell r="C3185" t="str">
            <v>M</v>
          </cell>
          <cell r="D3185">
            <v>2.37</v>
          </cell>
        </row>
        <row r="3186">
          <cell r="A3186">
            <v>73508</v>
          </cell>
          <cell r="B3186" t="str">
            <v>TRANSPORTE DE TUBOS DE PVC DN 500</v>
          </cell>
          <cell r="C3186" t="str">
            <v>M</v>
          </cell>
          <cell r="D3186">
            <v>1.8</v>
          </cell>
        </row>
        <row r="3187">
          <cell r="A3187">
            <v>73509</v>
          </cell>
          <cell r="B3187" t="str">
            <v>TRANSPORTE DE TUBOS DE PVC DN 400</v>
          </cell>
          <cell r="C3187" t="str">
            <v>M</v>
          </cell>
          <cell r="D3187">
            <v>1.31</v>
          </cell>
        </row>
        <row r="3188">
          <cell r="A3188">
            <v>73510</v>
          </cell>
          <cell r="B3188" t="str">
            <v>TRANSPORTE DE TUBOS DE FERRO DUTIL DN 1200</v>
          </cell>
          <cell r="C3188" t="str">
            <v>M</v>
          </cell>
          <cell r="D3188">
            <v>13.77</v>
          </cell>
        </row>
        <row r="3189">
          <cell r="A3189">
            <v>73511</v>
          </cell>
          <cell r="B3189" t="str">
            <v>TRANSPORTE DE TUBOS DE FERRO DUTIL DN 1100</v>
          </cell>
          <cell r="C3189" t="str">
            <v>M</v>
          </cell>
          <cell r="D3189">
            <v>11.89</v>
          </cell>
        </row>
        <row r="3190">
          <cell r="A3190">
            <v>73512</v>
          </cell>
          <cell r="B3190" t="str">
            <v>TRANSPORTE DE TUBOS DE FERRO DUTIL DN 1000</v>
          </cell>
          <cell r="C3190" t="str">
            <v>M</v>
          </cell>
          <cell r="D3190">
            <v>10.31</v>
          </cell>
        </row>
        <row r="3191">
          <cell r="A3191">
            <v>73513</v>
          </cell>
          <cell r="B3191" t="str">
            <v>TRANSPORTE DE TUBOS DE FERRO DUTIL DN 900</v>
          </cell>
          <cell r="C3191" t="str">
            <v>M</v>
          </cell>
          <cell r="D3191">
            <v>8.69</v>
          </cell>
        </row>
        <row r="3192">
          <cell r="A3192">
            <v>73514</v>
          </cell>
          <cell r="B3192" t="str">
            <v>TRANSPORTE DE TUBOS DE FERRO DUTIL DN 800</v>
          </cell>
          <cell r="C3192" t="str">
            <v>M</v>
          </cell>
          <cell r="D3192">
            <v>7.21</v>
          </cell>
        </row>
        <row r="3193">
          <cell r="A3193">
            <v>73515</v>
          </cell>
          <cell r="B3193" t="str">
            <v>TRANSPORTE DE TUBOS DE FERRO DUTIL DN 700</v>
          </cell>
          <cell r="C3193" t="str">
            <v>M</v>
          </cell>
          <cell r="D3193">
            <v>5.84</v>
          </cell>
        </row>
        <row r="3194">
          <cell r="A3194">
            <v>73516</v>
          </cell>
          <cell r="B3194" t="str">
            <v>TRANSPORTE DE TUBOS DE FERRO DUTIL DN 600</v>
          </cell>
          <cell r="C3194" t="str">
            <v>M</v>
          </cell>
          <cell r="D3194">
            <v>4.5999999999999996</v>
          </cell>
        </row>
        <row r="3195">
          <cell r="A3195">
            <v>73517</v>
          </cell>
          <cell r="B3195" t="str">
            <v>TRANSPORTE DE TUBOS DE FERRO DUTIL DN 500</v>
          </cell>
          <cell r="C3195" t="str">
            <v>M</v>
          </cell>
          <cell r="D3195">
            <v>3.48</v>
          </cell>
        </row>
        <row r="3196">
          <cell r="A3196">
            <v>73518</v>
          </cell>
          <cell r="B3196" t="str">
            <v>TRANSPORTE DE TUBOS DE FERRO DUTIL DN 450</v>
          </cell>
          <cell r="C3196" t="str">
            <v>M</v>
          </cell>
          <cell r="D3196">
            <v>3.02</v>
          </cell>
        </row>
        <row r="3197">
          <cell r="A3197">
            <v>73519</v>
          </cell>
          <cell r="B3197" t="str">
            <v>TRANSPORTE DE TUBOS DE FERRO DUTIL DN 400</v>
          </cell>
          <cell r="C3197" t="str">
            <v>M</v>
          </cell>
          <cell r="D3197">
            <v>2.5299999999999998</v>
          </cell>
        </row>
        <row r="3198">
          <cell r="A3198">
            <v>73520</v>
          </cell>
          <cell r="B3198" t="str">
            <v>TRANSPORTE DE TUBOS DE FERRO DUTIL DN 350</v>
          </cell>
          <cell r="C3198" t="str">
            <v>M</v>
          </cell>
          <cell r="D3198">
            <v>2.12</v>
          </cell>
        </row>
        <row r="3199">
          <cell r="A3199">
            <v>73521</v>
          </cell>
          <cell r="B3199" t="str">
            <v>TRANSPORTE DE TUBOS DE FERRO DUTIL DN 300</v>
          </cell>
          <cell r="C3199" t="str">
            <v>M</v>
          </cell>
          <cell r="D3199">
            <v>1.71</v>
          </cell>
        </row>
        <row r="3200">
          <cell r="A3200">
            <v>73522</v>
          </cell>
          <cell r="B3200" t="str">
            <v>TRANSPORTE DE TUBOS DE FERRO DUTIL DN 250</v>
          </cell>
          <cell r="C3200" t="str">
            <v>M</v>
          </cell>
          <cell r="D3200">
            <v>1.35</v>
          </cell>
        </row>
        <row r="3201">
          <cell r="A3201">
            <v>73523</v>
          </cell>
          <cell r="B3201" t="str">
            <v>TRANSPORTE DE TUBOS DE FERRO DUTIL DN 200</v>
          </cell>
          <cell r="C3201" t="str">
            <v>M</v>
          </cell>
          <cell r="D3201">
            <v>1.01</v>
          </cell>
        </row>
        <row r="3202">
          <cell r="A3202">
            <v>73524</v>
          </cell>
          <cell r="B3202" t="str">
            <v>TRANSPORTE DE TUBOS DE FERRO DUTIL DN 150</v>
          </cell>
          <cell r="C3202" t="str">
            <v>M</v>
          </cell>
          <cell r="D3202">
            <v>0.79</v>
          </cell>
        </row>
        <row r="3203">
          <cell r="A3203">
            <v>73525</v>
          </cell>
          <cell r="B3203" t="str">
            <v>CORTE ACO CA-60 DIAM 6,4 A 8,0MM</v>
          </cell>
          <cell r="C3203" t="str">
            <v>KG</v>
          </cell>
          <cell r="D3203">
            <v>2.4300000000000002</v>
          </cell>
        </row>
        <row r="3204">
          <cell r="A3204">
            <v>73533</v>
          </cell>
          <cell r="B3204" t="str">
            <v>CONCRETO P/CAMADAS PREPARATORIAS 180KG/M3 CIMENTO SOMENTE MATERIAIS   INCL 5% PERDAS.</v>
          </cell>
          <cell r="C3204" t="str">
            <v>M3</v>
          </cell>
          <cell r="D3204">
            <v>161.52000000000001</v>
          </cell>
        </row>
        <row r="3205">
          <cell r="A3205">
            <v>73540</v>
          </cell>
          <cell r="B3205" t="str">
            <v>COLOCACAO CUBA LOUCA/ACO INOX EXCLUSIVE CUBA/COMPLEMENTO - P</v>
          </cell>
          <cell r="C3205" t="str">
            <v>UN</v>
          </cell>
          <cell r="D3205">
            <v>22.76</v>
          </cell>
        </row>
        <row r="3206">
          <cell r="A3206">
            <v>73541</v>
          </cell>
          <cell r="B3206" t="str">
            <v>COLOCACAO BANCA MARMORE/GRANITO/ACO INOX EXCLUSIVE BANCA - P</v>
          </cell>
          <cell r="C3206" t="str">
            <v>M</v>
          </cell>
          <cell r="D3206">
            <v>42.25</v>
          </cell>
        </row>
        <row r="3207">
          <cell r="A3207">
            <v>73542</v>
          </cell>
          <cell r="B3207" t="str">
            <v>BUCHA/ARRUELA ALUMINIO 3/4" - P</v>
          </cell>
          <cell r="C3207" t="str">
            <v>CJ</v>
          </cell>
          <cell r="D3207">
            <v>0.68</v>
          </cell>
        </row>
        <row r="3208">
          <cell r="A3208">
            <v>73543</v>
          </cell>
          <cell r="B3208" t="str">
            <v>BUCHA/ARRUELA ALUMINIO 1/2" - P</v>
          </cell>
          <cell r="C3208" t="str">
            <v>CJ</v>
          </cell>
          <cell r="D3208">
            <v>0.57999999999999996</v>
          </cell>
        </row>
        <row r="3209">
          <cell r="A3209">
            <v>73555</v>
          </cell>
          <cell r="B3209" t="str">
            <v>TACO DE CANELA 2,5X10X10CM</v>
          </cell>
          <cell r="C3209" t="str">
            <v>UN</v>
          </cell>
          <cell r="D3209">
            <v>0.28000000000000003</v>
          </cell>
        </row>
        <row r="3210">
          <cell r="A3210">
            <v>73562</v>
          </cell>
          <cell r="B3210" t="str">
            <v>NIVEL WILD-NA-Z</v>
          </cell>
          <cell r="C3210" t="str">
            <v>H</v>
          </cell>
          <cell r="D3210">
            <v>0.75</v>
          </cell>
        </row>
        <row r="3211">
          <cell r="A3211">
            <v>73587</v>
          </cell>
          <cell r="B3211" t="str">
            <v>TRANSPORTE DE TUBOS DE PVC DN 350</v>
          </cell>
          <cell r="C3211" t="str">
            <v>M</v>
          </cell>
          <cell r="D3211">
            <v>0.91</v>
          </cell>
        </row>
        <row r="3212">
          <cell r="A3212">
            <v>73588</v>
          </cell>
          <cell r="B3212" t="str">
            <v>TRANSPORTE DE TUBOS DE PVC DN 300</v>
          </cell>
          <cell r="C3212" t="str">
            <v>M</v>
          </cell>
          <cell r="D3212">
            <v>0.61</v>
          </cell>
        </row>
        <row r="3213">
          <cell r="A3213">
            <v>73589</v>
          </cell>
          <cell r="B3213" t="str">
            <v>TRANSPORTE DE TUBOS DE PVC DN 250</v>
          </cell>
          <cell r="C3213" t="str">
            <v>M</v>
          </cell>
          <cell r="D3213">
            <v>0.42</v>
          </cell>
        </row>
        <row r="3214">
          <cell r="A3214">
            <v>73590</v>
          </cell>
          <cell r="B3214" t="str">
            <v>TRANSPORTE DE TUBOS DE PVC DN 200</v>
          </cell>
          <cell r="C3214" t="str">
            <v>M</v>
          </cell>
          <cell r="D3214">
            <v>0.26</v>
          </cell>
        </row>
        <row r="3215">
          <cell r="A3215">
            <v>73591</v>
          </cell>
          <cell r="B3215" t="str">
            <v>TRANSPORTE DE TUBOS DE PVC DN 150</v>
          </cell>
          <cell r="C3215" t="str">
            <v>M</v>
          </cell>
          <cell r="D3215">
            <v>0.16</v>
          </cell>
        </row>
        <row r="3216">
          <cell r="A3216">
            <v>73592</v>
          </cell>
          <cell r="B3216" t="str">
            <v>TRANSPORTE DE TUBOS DE PVC DN 125</v>
          </cell>
          <cell r="C3216" t="str">
            <v>M</v>
          </cell>
          <cell r="D3216">
            <v>0.13</v>
          </cell>
        </row>
        <row r="3217">
          <cell r="A3217">
            <v>73593</v>
          </cell>
          <cell r="B3217" t="str">
            <v>TRANSPORTE DE TUBOS DE PVC DN 100</v>
          </cell>
          <cell r="C3217" t="str">
            <v>M</v>
          </cell>
          <cell r="D3217">
            <v>0.2</v>
          </cell>
        </row>
        <row r="3218">
          <cell r="A3218">
            <v>73594</v>
          </cell>
          <cell r="B3218" t="str">
            <v>TRANSPORTE DE TUBOS DE PVC DN 75</v>
          </cell>
          <cell r="C3218" t="str">
            <v>M</v>
          </cell>
          <cell r="D3218">
            <v>0.16</v>
          </cell>
        </row>
        <row r="3219">
          <cell r="A3219">
            <v>73595</v>
          </cell>
          <cell r="B3219" t="str">
            <v>TRANSPORTE DE TUBOS DE PVC DN 50</v>
          </cell>
          <cell r="C3219" t="str">
            <v>M</v>
          </cell>
          <cell r="D3219">
            <v>0.1</v>
          </cell>
        </row>
        <row r="3220">
          <cell r="A3220">
            <v>73596</v>
          </cell>
          <cell r="B3220" t="str">
            <v>TRANSPORTE DE TUBOS DE PVC DN 25</v>
          </cell>
          <cell r="C3220" t="str">
            <v>M</v>
          </cell>
          <cell r="D3220">
            <v>0.02</v>
          </cell>
        </row>
        <row r="3221">
          <cell r="A3221">
            <v>73597</v>
          </cell>
          <cell r="B3221" t="str">
            <v>TRANSPORTE DE TUBOS DE FERRO DUTIL DN 100</v>
          </cell>
          <cell r="C3221" t="str">
            <v>M</v>
          </cell>
          <cell r="D3221">
            <v>0.61</v>
          </cell>
        </row>
        <row r="3222">
          <cell r="A3222">
            <v>73598</v>
          </cell>
          <cell r="B3222" t="str">
            <v>TRANSPORTE DE TUBOS DE FERRO DUTIL DN 75</v>
          </cell>
          <cell r="C3222" t="str">
            <v>M</v>
          </cell>
          <cell r="D3222">
            <v>0.41</v>
          </cell>
        </row>
        <row r="3223">
          <cell r="A3223">
            <v>73714</v>
          </cell>
          <cell r="B3223" t="str">
            <v>CAIXA PARA RALO C OM GRELHA FOFO 135 KG DE ALV TIJOLO MACICO (7X10X20) PAREDES DE UMA VEZ (0.20 M) DE 0.90X1.20X1.50 M (EXTERNA) COM ARGAMASSA 1:4 CIMENTO:AREIA, BASE CONC FCK=10 MPA, EXCLUSIVE ESCAVACAO E REATERRO.</v>
          </cell>
          <cell r="C3223" t="str">
            <v>UN</v>
          </cell>
          <cell r="D3223">
            <v>1231.54</v>
          </cell>
        </row>
        <row r="3224">
          <cell r="A3224">
            <v>84114</v>
          </cell>
          <cell r="B3224" t="str">
            <v>ALCAPAO DE MADEIRA 63X63CM INCL FERRAGENS</v>
          </cell>
          <cell r="C3224" t="str">
            <v>UN</v>
          </cell>
          <cell r="D3224">
            <v>96.29</v>
          </cell>
        </row>
        <row r="3225">
          <cell r="A3225">
            <v>84135</v>
          </cell>
          <cell r="B3225" t="str">
            <v>FORNECIMENTO E INSTALACAO CAIXA PRE MOLDADA EM CONCRETO PARA AR CONDICIONADO 18000 BTUS</v>
          </cell>
          <cell r="C3225" t="str">
            <v>UN</v>
          </cell>
          <cell r="D3225">
            <v>157.44</v>
          </cell>
        </row>
        <row r="3226">
          <cell r="A3226">
            <v>84158</v>
          </cell>
          <cell r="B3226" t="str">
            <v>BUCHA / ARRUELA ALUMINIO 1"</v>
          </cell>
          <cell r="C3226" t="str">
            <v>CJ</v>
          </cell>
          <cell r="D3226">
            <v>0.91</v>
          </cell>
        </row>
        <row r="3227">
          <cell r="A3227">
            <v>84159</v>
          </cell>
          <cell r="B3227" t="str">
            <v>BUCHA / ARRUELA ALUMINIO 1 1/4"</v>
          </cell>
          <cell r="C3227" t="str">
            <v>CJ</v>
          </cell>
          <cell r="D3227">
            <v>1.71</v>
          </cell>
        </row>
        <row r="3228">
          <cell r="A3228">
            <v>86957</v>
          </cell>
          <cell r="B3228" t="str">
            <v>MÃO FRANCESA EM BARRA DE FERRO CHATO RETANGULAR 2" X 1/4", REFORÇADA, 40 X 30 CM</v>
          </cell>
          <cell r="C3228" t="str">
            <v>UN</v>
          </cell>
          <cell r="D3228">
            <v>21.06</v>
          </cell>
        </row>
        <row r="3229">
          <cell r="A3229">
            <v>86958</v>
          </cell>
          <cell r="B3229" t="str">
            <v>MÃO FRANCESA EM BARRA DE FERRO CHATO RETANGULAR 2" X 1/4", REFORÇADA, 30 X 25 CM</v>
          </cell>
          <cell r="C3229" t="str">
            <v>UN</v>
          </cell>
          <cell r="D3229">
            <v>18.46</v>
          </cell>
        </row>
        <row r="3230">
          <cell r="A3230">
            <v>5803</v>
          </cell>
          <cell r="B3230" t="str">
            <v>COMPACTADOR DE SOLOS COM PLACA VIBRATORIA, 46X51CM, 5HP, 156KG, DIESEL, IMPACTO DINAMICO 1700KG - CUSTO HORARIO DE MATERIAIS NA OPERACAO</v>
          </cell>
          <cell r="C3230" t="str">
            <v>H</v>
          </cell>
          <cell r="D3230">
            <v>1.86</v>
          </cell>
        </row>
        <row r="3231">
          <cell r="A3231">
            <v>6541</v>
          </cell>
          <cell r="B3231" t="str">
            <v>TRATOR DE ESTEIRAS - D6 - CUSTOS C/ MAT. NA OPERACAO</v>
          </cell>
          <cell r="C3231" t="str">
            <v>H</v>
          </cell>
          <cell r="D3231">
            <v>65.260000000000005</v>
          </cell>
        </row>
        <row r="3232">
          <cell r="A3232">
            <v>73346</v>
          </cell>
          <cell r="B3232" t="str">
            <v>CONCRETO ARMADO DOSADO 15 MPA INCL MAT P/ 1 M3 PREPARO CONF           COMP 5845 COLOC CONF COMP 7090 14 M2 DE AREA MOLDADA FORMAS           E ESCORAMENTO CONF COMPS 5306 E 5708 60 KG DE ACO CA-50 INC           MAO DE OBRA P/CORTE DOBRAGEM MONTAGEM E COLO</v>
          </cell>
          <cell r="C3232" t="str">
            <v>M3</v>
          </cell>
          <cell r="D3232">
            <v>1433.56</v>
          </cell>
        </row>
        <row r="3233">
          <cell r="A3233">
            <v>73473</v>
          </cell>
          <cell r="B3233" t="str">
            <v>VASSOURA MEC REBOCAVEL LARG DE TRAB 2,66M (CI) EXCL OPERADOR</v>
          </cell>
          <cell r="C3233" t="str">
            <v>H</v>
          </cell>
          <cell r="D3233">
            <v>9.98</v>
          </cell>
        </row>
        <row r="3234">
          <cell r="A3234">
            <v>73474</v>
          </cell>
          <cell r="B3234" t="str">
            <v>ALUGUEL CAMINHAO CARROC FIXA TOCO 7,5T MOTOR DIESEL 132CV (CI) C/MOTO RISTA</v>
          </cell>
          <cell r="C3234" t="str">
            <v>H</v>
          </cell>
          <cell r="D3234">
            <v>38.700000000000003</v>
          </cell>
        </row>
        <row r="3235">
          <cell r="A3235">
            <v>73477</v>
          </cell>
          <cell r="B3235" t="str">
            <v>MAQUINA DE SOLDA A ARCO 375A DIESEL 33CV (CP) EXCL OPERADOR</v>
          </cell>
          <cell r="C3235" t="str">
            <v>H</v>
          </cell>
          <cell r="D3235">
            <v>36.840000000000003</v>
          </cell>
        </row>
        <row r="3236">
          <cell r="A3236">
            <v>73554</v>
          </cell>
          <cell r="B3236" t="str">
            <v>MACARANDUBA APARELHADA 3" X 3"</v>
          </cell>
          <cell r="C3236" t="str">
            <v>M</v>
          </cell>
          <cell r="D3236">
            <v>17.68</v>
          </cell>
        </row>
        <row r="3237">
          <cell r="A3237">
            <v>84198</v>
          </cell>
          <cell r="B3237" t="str">
            <v>VASSOURA MEC REBOCAVEL LARGURA DE TRABALHO 2,66M (CP) EXCL OPERADOR</v>
          </cell>
          <cell r="C3237" t="str">
            <v>H</v>
          </cell>
          <cell r="D3237">
            <v>13.6</v>
          </cell>
        </row>
        <row r="3238">
          <cell r="A3238" t="str">
            <v>73916/1</v>
          </cell>
          <cell r="B3238" t="str">
            <v>PLACA DE IDENTIFICAÇÃO EM CHAPA GALVANIZADA NUM. 18, 12X18CM</v>
          </cell>
          <cell r="C3238" t="str">
            <v>UN</v>
          </cell>
          <cell r="D3238">
            <v>60.32</v>
          </cell>
        </row>
        <row r="3239">
          <cell r="A3239" t="str">
            <v>73916/2</v>
          </cell>
          <cell r="B3239" t="str">
            <v>PLACA ESMALTADA PARA IDENTIFICAÇÃO NR DE RUA, DIMENSÕES 45X25CM</v>
          </cell>
          <cell r="C3239" t="str">
            <v>UN</v>
          </cell>
          <cell r="D3239">
            <v>156.97999999999999</v>
          </cell>
        </row>
        <row r="3240">
          <cell r="A3240" t="str">
            <v>73916/3</v>
          </cell>
          <cell r="B3240" t="str">
            <v>PLACA DE IDENTIFICAÇÃO EM CHAPA GALVANIZADA NUM. 18, DIMENSÕES 8X12CM</v>
          </cell>
          <cell r="C3240" t="str">
            <v>UN</v>
          </cell>
          <cell r="D3240">
            <v>28.96</v>
          </cell>
        </row>
        <row r="3241">
          <cell r="A3241">
            <v>73672</v>
          </cell>
          <cell r="B3241" t="str">
            <v>DESMATAMENTO E LIMPEZA MECANIZADA DE TERRENO COM ARVORES ATE Ø 15CM, UTILIZANDO TRATOR DE ESTEIRAS</v>
          </cell>
          <cell r="C3241" t="str">
            <v>M2</v>
          </cell>
          <cell r="D3241">
            <v>0.39</v>
          </cell>
        </row>
        <row r="3242">
          <cell r="A3242" t="str">
            <v>73822/1</v>
          </cell>
          <cell r="B3242" t="str">
            <v>CAPINA E LIMPEZA MANUAL DE TERRENO COM PEQUENOS ARBUSTOS</v>
          </cell>
          <cell r="C3242" t="str">
            <v>M2</v>
          </cell>
          <cell r="D3242">
            <v>2.74</v>
          </cell>
        </row>
        <row r="3243">
          <cell r="A3243" t="str">
            <v>73822/2</v>
          </cell>
          <cell r="B3243" t="str">
            <v>LIMPEZA MECANIZADA DE TERRENO COM REMOCAO DE CAMADA VEGETAL, UTILIZANDO MOTONIVELADORA</v>
          </cell>
          <cell r="C3243" t="str">
            <v>M2</v>
          </cell>
          <cell r="D3243">
            <v>0.49</v>
          </cell>
        </row>
        <row r="3244">
          <cell r="A3244" t="str">
            <v>73859/1</v>
          </cell>
          <cell r="B3244" t="str">
            <v>DESMATAMENTO E LIMPEZA MECANIZADA DE TERRENO COM REMOCAO DE CAMADA VEGETAL, UTILIZANDO TRATOR DE ESTEIRAS</v>
          </cell>
          <cell r="C3244" t="str">
            <v>M2</v>
          </cell>
          <cell r="D3244">
            <v>0.16</v>
          </cell>
        </row>
        <row r="3245">
          <cell r="A3245" t="str">
            <v>73859/2</v>
          </cell>
          <cell r="B3245" t="str">
            <v>CAPINA E LIMPEZA MANUAL DE TERRENO</v>
          </cell>
          <cell r="C3245" t="str">
            <v>M2</v>
          </cell>
          <cell r="D3245">
            <v>0.73</v>
          </cell>
        </row>
        <row r="3246">
          <cell r="A3246" t="str">
            <v>73871/2</v>
          </cell>
          <cell r="B3246" t="str">
            <v>DESTOCAMENTO MECANICO DE ARVORES, Ø ATE 30CM</v>
          </cell>
          <cell r="C3246" t="str">
            <v>UN</v>
          </cell>
          <cell r="D3246">
            <v>28.91</v>
          </cell>
        </row>
        <row r="3247">
          <cell r="A3247" t="str">
            <v>73871/3</v>
          </cell>
          <cell r="B3247" t="str">
            <v>DESTOCAMENTO MECANICO DE ARVORES, Ø ENTRE 30 E 50CM</v>
          </cell>
          <cell r="C3247" t="str">
            <v>UN</v>
          </cell>
          <cell r="D3247">
            <v>51.74</v>
          </cell>
        </row>
        <row r="3248">
          <cell r="A3248" t="str">
            <v>73871/4</v>
          </cell>
          <cell r="B3248" t="str">
            <v>DESTOCAMENTO MECANICO DE ARVORES, Ø MAIOR QUE 50CM</v>
          </cell>
          <cell r="C3248" t="str">
            <v>UN</v>
          </cell>
          <cell r="D3248">
            <v>86.62</v>
          </cell>
        </row>
        <row r="3249">
          <cell r="A3249">
            <v>85331</v>
          </cell>
          <cell r="B3249" t="str">
            <v>CORTE DE CAPOEIRA FINA A FOICE</v>
          </cell>
          <cell r="C3249" t="str">
            <v>M2</v>
          </cell>
          <cell r="D3249">
            <v>0.7</v>
          </cell>
        </row>
        <row r="3250">
          <cell r="A3250">
            <v>85422</v>
          </cell>
          <cell r="B3250" t="str">
            <v>PREPARO MANUAL DE TERRENO S/ RASPAGEM SUPERFICIAL</v>
          </cell>
          <cell r="C3250" t="str">
            <v>M2</v>
          </cell>
          <cell r="D3250">
            <v>3.66</v>
          </cell>
        </row>
        <row r="3251">
          <cell r="A3251" t="str">
            <v>74220/1</v>
          </cell>
          <cell r="B3251" t="str">
            <v>TAPUME DE CHAPA DE MADEIRA COMPENSADA, E= 6MM, COM PINTURA A CAL E REAPROVEITAMENTO DE 2X</v>
          </cell>
          <cell r="C3251" t="str">
            <v>M2</v>
          </cell>
          <cell r="D3251">
            <v>35</v>
          </cell>
        </row>
        <row r="3252">
          <cell r="A3252" t="str">
            <v>74221/1</v>
          </cell>
          <cell r="B3252" t="str">
            <v>SINALIZACAO DE TRANSITO - NOTURNA</v>
          </cell>
          <cell r="C3252" t="str">
            <v>M</v>
          </cell>
          <cell r="D3252">
            <v>1.46</v>
          </cell>
        </row>
        <row r="3253">
          <cell r="A3253" t="str">
            <v>74219/1</v>
          </cell>
          <cell r="B3253" t="str">
            <v>PASSADICOS COM TABUAS DE MADEIRA PARA PEDESTRES</v>
          </cell>
          <cell r="C3253" t="str">
            <v>M2</v>
          </cell>
          <cell r="D3253">
            <v>36.97</v>
          </cell>
        </row>
        <row r="3254">
          <cell r="A3254" t="str">
            <v>74219/2</v>
          </cell>
          <cell r="B3254" t="str">
            <v>PASSADICOS COM TABUAS DE MADEIRA PARA VEICULOS</v>
          </cell>
          <cell r="C3254" t="str">
            <v>M2</v>
          </cell>
          <cell r="D3254">
            <v>32.26</v>
          </cell>
        </row>
        <row r="3255">
          <cell r="A3255">
            <v>84126</v>
          </cell>
          <cell r="B3255" t="str">
            <v>CHAPA DE ACO CARBONO 3/8 (COLOC/ USO/ RETIR) P/ PASS VEICULO SOBRE VALA MEDIDA P/ AREA CHAPA EM CADA APLICACAO</v>
          </cell>
          <cell r="C3255" t="str">
            <v>M2</v>
          </cell>
          <cell r="D3255">
            <v>19.3</v>
          </cell>
        </row>
        <row r="3256">
          <cell r="A3256" t="str">
            <v>73875/1</v>
          </cell>
          <cell r="B3256" t="str">
            <v>LOCACAO DE ANDAIME METALICO TUBULAR TIPO TORRE</v>
          </cell>
          <cell r="C3256" t="str">
            <v>M/MES</v>
          </cell>
          <cell r="D3256">
            <v>18.079999999999998</v>
          </cell>
        </row>
        <row r="3257">
          <cell r="A3257">
            <v>72208</v>
          </cell>
          <cell r="B3257" t="str">
            <v>CARGA MECANIZADA E REMOCAO E ENTULHO COM TRANSPORTE ATE 1KM</v>
          </cell>
          <cell r="C3257" t="str">
            <v>M3</v>
          </cell>
          <cell r="D3257">
            <v>5.62</v>
          </cell>
        </row>
        <row r="3258">
          <cell r="A3258">
            <v>72209</v>
          </cell>
          <cell r="B3258" t="str">
            <v>CARGA MANUAL E REMOCAO E ENTULHO COM TRANSPORTE ATE 1KM EM CAMINHAO BASCULANTE 6M3</v>
          </cell>
          <cell r="C3258" t="str">
            <v>M3</v>
          </cell>
          <cell r="D3258">
            <v>14.5</v>
          </cell>
        </row>
        <row r="3259">
          <cell r="A3259">
            <v>72210</v>
          </cell>
          <cell r="B3259" t="str">
            <v>DESTOCAMENTO DE TRONCOS COM DIAMETRO DE 10CM ATE 30CM, INCLUSIVE REMOCAO DE RAIZES</v>
          </cell>
          <cell r="C3259" t="str">
            <v>UN</v>
          </cell>
          <cell r="D3259">
            <v>19.64</v>
          </cell>
        </row>
        <row r="3260">
          <cell r="A3260">
            <v>72211</v>
          </cell>
          <cell r="B3260" t="str">
            <v>DESTOCAMENTO DE TRONCOS COM DIAMETRO DE 30CM ATE 50CM, INCLUSIVE REMOCAO DE RAIZES</v>
          </cell>
          <cell r="C3260" t="str">
            <v>UN</v>
          </cell>
          <cell r="D3260">
            <v>54.62</v>
          </cell>
        </row>
        <row r="3261">
          <cell r="A3261">
            <v>72212</v>
          </cell>
          <cell r="B3261" t="str">
            <v>DESTOCAMENTO DE TRONCOS COM DIAMETRO MAIOR DO QUE 50CM, INCLUSIVE REMOCAO DE RAIZES</v>
          </cell>
          <cell r="C3261" t="str">
            <v>UN</v>
          </cell>
          <cell r="D3261">
            <v>65.069999999999993</v>
          </cell>
        </row>
        <row r="3262">
          <cell r="A3262">
            <v>72213</v>
          </cell>
          <cell r="B3262" t="str">
            <v>LIMPEZA MANUAL GERAL COM REMOCAO DE COBERTURA VEGETAL</v>
          </cell>
          <cell r="C3262" t="str">
            <v>M2</v>
          </cell>
          <cell r="D3262">
            <v>2.29</v>
          </cell>
        </row>
        <row r="3263">
          <cell r="A3263">
            <v>72214</v>
          </cell>
          <cell r="B3263" t="str">
            <v>DEMOLICAO DE ALVENARIA ESTRUTURAL DE BLOCOS VAZADOS DE CONCRETO</v>
          </cell>
          <cell r="C3263" t="str">
            <v>M3</v>
          </cell>
          <cell r="D3263">
            <v>36.65</v>
          </cell>
        </row>
        <row r="3264">
          <cell r="A3264">
            <v>72215</v>
          </cell>
          <cell r="B3264" t="str">
            <v>DEMOLICAO DE ALVENARIA DE ELEMENTOS CERAMICOS VAZADOS</v>
          </cell>
          <cell r="C3264" t="str">
            <v>M3</v>
          </cell>
          <cell r="D3264">
            <v>22.9</v>
          </cell>
        </row>
        <row r="3265">
          <cell r="A3265">
            <v>72216</v>
          </cell>
          <cell r="B3265" t="str">
            <v>DEMOLICAO DE VERGAS, CINTAS E PILARETES DE CONCRETO</v>
          </cell>
          <cell r="C3265" t="str">
            <v>M3</v>
          </cell>
          <cell r="D3265">
            <v>119.12</v>
          </cell>
        </row>
        <row r="3266">
          <cell r="A3266">
            <v>72217</v>
          </cell>
          <cell r="B3266" t="str">
            <v>DEMOLICAO DE PLACAS DIVISORIAS DE GRANILITE</v>
          </cell>
          <cell r="C3266" t="str">
            <v>M2</v>
          </cell>
          <cell r="D3266">
            <v>4.58</v>
          </cell>
        </row>
        <row r="3267">
          <cell r="A3267">
            <v>72218</v>
          </cell>
          <cell r="B3267" t="str">
            <v>DEMOLICAO DE DIVISORIAS EM CHAPAS OU TABUAS, INCLUSIVE DEMOLICAO DE ENTARUGAMENTO</v>
          </cell>
          <cell r="C3267" t="str">
            <v>M2</v>
          </cell>
          <cell r="D3267">
            <v>3.66</v>
          </cell>
        </row>
        <row r="3268">
          <cell r="A3268">
            <v>72219</v>
          </cell>
          <cell r="B3268" t="str">
            <v>DEMOLICAO DE ALVENARIA DE BLOCOS DE PEDRA NATURAL</v>
          </cell>
          <cell r="C3268" t="str">
            <v>M3</v>
          </cell>
          <cell r="D3268">
            <v>59.56</v>
          </cell>
        </row>
        <row r="3269">
          <cell r="A3269">
            <v>72220</v>
          </cell>
          <cell r="B3269" t="str">
            <v>RETIRADA DE ALVENARIA DE TIJOLOS DE VIDRO</v>
          </cell>
          <cell r="C3269" t="str">
            <v>M2</v>
          </cell>
          <cell r="D3269">
            <v>9.16</v>
          </cell>
        </row>
        <row r="3270">
          <cell r="A3270">
            <v>72221</v>
          </cell>
          <cell r="B3270" t="str">
            <v>RETIRADA DE PLACAS DIVISORIAS DE GRANILITE</v>
          </cell>
          <cell r="C3270" t="str">
            <v>M2</v>
          </cell>
          <cell r="D3270">
            <v>9.16</v>
          </cell>
        </row>
        <row r="3271">
          <cell r="A3271">
            <v>72222</v>
          </cell>
          <cell r="B3271" t="str">
            <v>RETIRADAS DE DIVISORIAS EM CHAPAS OU TABUAS, SEM RETIRADA DO ENTARUGAMENTO</v>
          </cell>
          <cell r="C3271" t="str">
            <v>M2</v>
          </cell>
          <cell r="D3271">
            <v>4.3899999999999997</v>
          </cell>
        </row>
        <row r="3272">
          <cell r="A3272">
            <v>72223</v>
          </cell>
          <cell r="B3272" t="str">
            <v>RETIRADAS DE DIVISORIAS EM CHAPAS OU TABUAS, COM RETIRADA DO ENTARUGAMENTO</v>
          </cell>
          <cell r="C3272" t="str">
            <v>M2</v>
          </cell>
          <cell r="D3272">
            <v>8.7799999999999994</v>
          </cell>
        </row>
        <row r="3273">
          <cell r="A3273">
            <v>72224</v>
          </cell>
          <cell r="B3273" t="str">
            <v>DEMOLICAO DE TELHAS CERAMICAS OU DE VIDRO</v>
          </cell>
          <cell r="C3273" t="str">
            <v>M2</v>
          </cell>
          <cell r="D3273">
            <v>5.49</v>
          </cell>
        </row>
        <row r="3274">
          <cell r="A3274">
            <v>72225</v>
          </cell>
          <cell r="B3274" t="str">
            <v>DEMOLICAO DE TELHAS ONDULADAS</v>
          </cell>
          <cell r="C3274" t="str">
            <v>M2</v>
          </cell>
          <cell r="D3274">
            <v>2.29</v>
          </cell>
        </row>
        <row r="3275">
          <cell r="A3275">
            <v>72226</v>
          </cell>
          <cell r="B3275" t="str">
            <v>RETIRADA DE ESTRUTURA DE MADEIRA PONTALETEADA PARA TELHAS CERAMICAS OU DE VIDRO</v>
          </cell>
          <cell r="C3275" t="str">
            <v>M2</v>
          </cell>
          <cell r="D3275">
            <v>6.04</v>
          </cell>
        </row>
        <row r="3276">
          <cell r="A3276">
            <v>72227</v>
          </cell>
          <cell r="B3276" t="str">
            <v>RETIRADA DE ESTRUTURA DE MADEIRA PONTALETEADA PARA TELHAS ONDULADAS</v>
          </cell>
          <cell r="C3276" t="str">
            <v>M2</v>
          </cell>
          <cell r="D3276">
            <v>4.0199999999999996</v>
          </cell>
        </row>
        <row r="3277">
          <cell r="A3277">
            <v>72228</v>
          </cell>
          <cell r="B3277" t="str">
            <v>RETIRADA DE ESTRUTURA DE MADEIRA COM TESOURAS PARA TELHAS CERAMICAS OU DE VIDRO</v>
          </cell>
          <cell r="C3277" t="str">
            <v>M2</v>
          </cell>
          <cell r="D3277">
            <v>10.07</v>
          </cell>
        </row>
        <row r="3278">
          <cell r="A3278">
            <v>72229</v>
          </cell>
          <cell r="B3278" t="str">
            <v>RETIRADA DE ESTRUTURA DE MADEIRA COM TESOURAS PARA TELHAS ONDULADAS</v>
          </cell>
          <cell r="C3278" t="str">
            <v>M2</v>
          </cell>
          <cell r="D3278">
            <v>8.0500000000000007</v>
          </cell>
        </row>
        <row r="3279">
          <cell r="A3279">
            <v>72230</v>
          </cell>
          <cell r="B3279" t="str">
            <v>RETIRADA DE TELHAS DE CERAMICAS OU DE VIDRO</v>
          </cell>
          <cell r="C3279" t="str">
            <v>M2</v>
          </cell>
          <cell r="D3279">
            <v>4.58</v>
          </cell>
        </row>
        <row r="3280">
          <cell r="A3280">
            <v>72231</v>
          </cell>
          <cell r="B3280" t="str">
            <v>RETIRADA DE TELHAS ONDULADAS</v>
          </cell>
          <cell r="C3280" t="str">
            <v>M2</v>
          </cell>
          <cell r="D3280">
            <v>3.2</v>
          </cell>
        </row>
        <row r="3281">
          <cell r="A3281">
            <v>72232</v>
          </cell>
          <cell r="B3281" t="str">
            <v>RETIRADA DE CUMEEIRAS CERAMICAS</v>
          </cell>
          <cell r="C3281" t="str">
            <v>M</v>
          </cell>
          <cell r="D3281">
            <v>2.74</v>
          </cell>
        </row>
        <row r="3282">
          <cell r="A3282">
            <v>72233</v>
          </cell>
          <cell r="B3282" t="str">
            <v>RETIRADA DE CUMEEIRAS EM ALUMINIO</v>
          </cell>
          <cell r="C3282" t="str">
            <v>M</v>
          </cell>
          <cell r="D3282">
            <v>1.83</v>
          </cell>
        </row>
        <row r="3283">
          <cell r="A3283">
            <v>72234</v>
          </cell>
          <cell r="B3283" t="str">
            <v>DEMOLICAO DE FORRO DE GESSO</v>
          </cell>
          <cell r="C3283" t="str">
            <v>M2</v>
          </cell>
          <cell r="D3283">
            <v>2.74</v>
          </cell>
        </row>
        <row r="3284">
          <cell r="A3284">
            <v>72235</v>
          </cell>
          <cell r="B3284" t="str">
            <v>DEMOLICAO DE ENTARUGAMENTO DE FORRO</v>
          </cell>
          <cell r="C3284" t="str">
            <v>M2</v>
          </cell>
          <cell r="D3284">
            <v>3.66</v>
          </cell>
        </row>
        <row r="3285">
          <cell r="A3285">
            <v>72236</v>
          </cell>
          <cell r="B3285" t="str">
            <v>RETIRADA DE FORRO DE MADEIRA EM TABUAS</v>
          </cell>
          <cell r="C3285" t="str">
            <v>M2</v>
          </cell>
          <cell r="D3285">
            <v>6.77</v>
          </cell>
        </row>
        <row r="3286">
          <cell r="A3286">
            <v>72237</v>
          </cell>
          <cell r="B3286" t="str">
            <v>RETIRADA DE ENTARUGAMENTO DE FORRO</v>
          </cell>
          <cell r="C3286" t="str">
            <v>M2</v>
          </cell>
          <cell r="D3286">
            <v>8.0500000000000007</v>
          </cell>
        </row>
        <row r="3287">
          <cell r="A3287">
            <v>72238</v>
          </cell>
          <cell r="B3287" t="str">
            <v>RETIRADA DE FORRO EM REGUAS DE PVC, INCLUSIVE RETIRADA DE PERFIS</v>
          </cell>
          <cell r="C3287" t="str">
            <v>M2</v>
          </cell>
          <cell r="D3287">
            <v>4.0199999999999996</v>
          </cell>
        </row>
        <row r="3288">
          <cell r="A3288">
            <v>72239</v>
          </cell>
          <cell r="B3288" t="str">
            <v>RETIRADA DE TACOS DE MADEIRA</v>
          </cell>
          <cell r="C3288" t="str">
            <v>M2</v>
          </cell>
          <cell r="D3288">
            <v>3.04</v>
          </cell>
        </row>
        <row r="3289">
          <cell r="A3289">
            <v>72240</v>
          </cell>
          <cell r="B3289" t="str">
            <v>RETIRADA DE ASSOALHO DE MADEIRA, EXCLUSIVE RETIRADA DE VIGAMENTO</v>
          </cell>
          <cell r="C3289" t="str">
            <v>M2</v>
          </cell>
          <cell r="D3289">
            <v>14.65</v>
          </cell>
        </row>
        <row r="3290">
          <cell r="A3290">
            <v>72241</v>
          </cell>
          <cell r="B3290" t="str">
            <v>RETIRADA DE ASSOALHO DE MADEIRA, INCLUSIVE RETIRADA DE VIGAMENTO</v>
          </cell>
          <cell r="C3290" t="str">
            <v>M2</v>
          </cell>
          <cell r="D3290">
            <v>17.579999999999998</v>
          </cell>
        </row>
        <row r="3291">
          <cell r="A3291">
            <v>72242</v>
          </cell>
          <cell r="B3291" t="str">
            <v>RETIRADA DE RODAPES DE MADEIRA, INCLUSIVE RETIRADA DE CORDAO</v>
          </cell>
          <cell r="C3291" t="str">
            <v>M2</v>
          </cell>
          <cell r="D3291">
            <v>2.97</v>
          </cell>
        </row>
        <row r="3292">
          <cell r="A3292">
            <v>73616</v>
          </cell>
          <cell r="B3292" t="str">
            <v>DEMOLICAO DE CONCRETO SIMPLES</v>
          </cell>
          <cell r="C3292" t="str">
            <v>M3</v>
          </cell>
          <cell r="D3292">
            <v>133.61000000000001</v>
          </cell>
        </row>
        <row r="3293">
          <cell r="A3293" t="str">
            <v>73801/1</v>
          </cell>
          <cell r="B3293" t="str">
            <v>DEMOLICAO DE PISO DE ALTA RESISTENCIA</v>
          </cell>
          <cell r="C3293" t="str">
            <v>M2</v>
          </cell>
          <cell r="D3293">
            <v>13.74</v>
          </cell>
        </row>
        <row r="3294">
          <cell r="A3294" t="str">
            <v>73801/2</v>
          </cell>
          <cell r="B3294" t="str">
            <v>DEMOLICAO DE CAMADA DE ASSENTAMENTO/CONTRAPISO COM USO DE PONTEIRO, ESPESSURA ATE 4CM</v>
          </cell>
          <cell r="C3294" t="str">
            <v>M2</v>
          </cell>
          <cell r="D3294">
            <v>13.74</v>
          </cell>
        </row>
        <row r="3295">
          <cell r="A3295" t="str">
            <v>73802/1</v>
          </cell>
          <cell r="B3295" t="str">
            <v>DEMOLICAO DE REVESTIMENTO DE ARGAMASSA DE CAL E AREIA</v>
          </cell>
          <cell r="C3295" t="str">
            <v>M2</v>
          </cell>
          <cell r="D3295">
            <v>4.58</v>
          </cell>
        </row>
        <row r="3296">
          <cell r="A3296" t="str">
            <v>73874/1</v>
          </cell>
          <cell r="B3296" t="str">
            <v>REMOCAO DE PINTURAS COM JATEAMENTO DE AREIA, EM SUPERFICIES METALICAS</v>
          </cell>
          <cell r="C3296" t="str">
            <v>M2</v>
          </cell>
          <cell r="D3296">
            <v>11.89</v>
          </cell>
        </row>
        <row r="3297">
          <cell r="A3297" t="str">
            <v>73895/1</v>
          </cell>
          <cell r="B3297" t="str">
            <v>DEMOLICAO DE PISO DE MARMORE E ARGAMASSA DE ASSENTAMENTO</v>
          </cell>
          <cell r="C3297" t="str">
            <v>M2</v>
          </cell>
          <cell r="D3297">
            <v>5.47</v>
          </cell>
        </row>
        <row r="3298">
          <cell r="A3298" t="str">
            <v>73896/1</v>
          </cell>
          <cell r="B3298" t="str">
            <v>RETIRADA CUIDADOSA DE AZULEJOS/LADRILHOS E ARGAMASSA DE ASSENTAMENTO</v>
          </cell>
          <cell r="C3298" t="str">
            <v>M2</v>
          </cell>
          <cell r="D3298">
            <v>28.94</v>
          </cell>
        </row>
        <row r="3299">
          <cell r="A3299" t="str">
            <v>73899/1</v>
          </cell>
          <cell r="B3299" t="str">
            <v>DEMOLICAO DE ALVENARIA DE TIJOLOS MACICOS S/REAPROVEITAMENTO</v>
          </cell>
          <cell r="C3299" t="str">
            <v>M3</v>
          </cell>
          <cell r="D3299">
            <v>41.11</v>
          </cell>
        </row>
        <row r="3300">
          <cell r="A3300" t="str">
            <v>73899/2</v>
          </cell>
          <cell r="B3300" t="str">
            <v>DEMOLICAO DE ALVENARIA DE TIJOLOS FURADOS S/REAPROVEITAMENTO</v>
          </cell>
          <cell r="C3300" t="str">
            <v>M3</v>
          </cell>
          <cell r="D3300">
            <v>51.38</v>
          </cell>
        </row>
        <row r="3301">
          <cell r="A3301">
            <v>84152</v>
          </cell>
          <cell r="B3301" t="str">
            <v>DEMOLICAO MANUAL CONCRETO ARMADO (PILAR / VIGA / LAJE) - INCL EMPILHACAO LATERAL NO CANTEIRO</v>
          </cell>
          <cell r="C3301" t="str">
            <v>M3</v>
          </cell>
          <cell r="D3301">
            <v>174.72</v>
          </cell>
        </row>
        <row r="3302">
          <cell r="A3302">
            <v>85332</v>
          </cell>
          <cell r="B3302" t="str">
            <v>RETIRADA DE APARELHOS DE ILUMINACAO C/ REAPROVEITAMENTO DE LAMPADAS</v>
          </cell>
          <cell r="C3302" t="str">
            <v>UN</v>
          </cell>
          <cell r="D3302">
            <v>3.15</v>
          </cell>
        </row>
        <row r="3303">
          <cell r="A3303">
            <v>85333</v>
          </cell>
          <cell r="B3303" t="str">
            <v>RETIRADA DE APARELHOS SANITARIOS</v>
          </cell>
          <cell r="C3303" t="str">
            <v>UN</v>
          </cell>
          <cell r="D3303">
            <v>11.08</v>
          </cell>
        </row>
        <row r="3304">
          <cell r="A3304">
            <v>85334</v>
          </cell>
          <cell r="B3304" t="str">
            <v>RETIRADA DE ESQUADRIAS METALICAS</v>
          </cell>
          <cell r="C3304" t="str">
            <v>M2</v>
          </cell>
          <cell r="D3304">
            <v>9.16</v>
          </cell>
        </row>
        <row r="3305">
          <cell r="A3305">
            <v>85335</v>
          </cell>
          <cell r="B3305" t="str">
            <v>RETIRADA DE MEIO FIO C/ EMPILHAMENTO E S/ REMOCAO</v>
          </cell>
          <cell r="C3305" t="str">
            <v>M</v>
          </cell>
          <cell r="D3305">
            <v>4.26</v>
          </cell>
        </row>
        <row r="3306">
          <cell r="A3306">
            <v>85336</v>
          </cell>
          <cell r="B3306" t="str">
            <v>RETIRADA DE TUBULACAO DE FERRO GALVANIZADO S/ ESCAVACAO OU RASGO EM ALVENARIA</v>
          </cell>
          <cell r="C3306" t="str">
            <v>M</v>
          </cell>
          <cell r="D3306">
            <v>3.24</v>
          </cell>
        </row>
        <row r="3307">
          <cell r="A3307">
            <v>85362</v>
          </cell>
          <cell r="B3307" t="str">
            <v>DEMOLICAO DE DIVISORIAS EM PLACAS DE MARMORITE OU DE CONCRETO</v>
          </cell>
          <cell r="C3307" t="str">
            <v>M2</v>
          </cell>
          <cell r="D3307">
            <v>7.33</v>
          </cell>
        </row>
        <row r="3308">
          <cell r="A3308">
            <v>85364</v>
          </cell>
          <cell r="B3308" t="str">
            <v>DEMOLICAO MANUAL DE ESTRUTURA DE CONCRETO ARMADO</v>
          </cell>
          <cell r="C3308" t="str">
            <v>M3</v>
          </cell>
          <cell r="D3308">
            <v>133.61000000000001</v>
          </cell>
        </row>
        <row r="3309">
          <cell r="A3309">
            <v>85365</v>
          </cell>
          <cell r="B3309" t="str">
            <v>DEMOLICAO MANUAL DE PAVIMENTACAO EM MACADAME BETUMINOSO</v>
          </cell>
          <cell r="C3309" t="str">
            <v>M3</v>
          </cell>
          <cell r="D3309">
            <v>33.9</v>
          </cell>
        </row>
        <row r="3310">
          <cell r="A3310">
            <v>85366</v>
          </cell>
          <cell r="B3310" t="str">
            <v>DEMOLICAO MANUAL DE PAVIMENTACAO EM CONCRETO ASFALTICO, ESPESSURA 5CM</v>
          </cell>
          <cell r="C3310" t="str">
            <v>M2</v>
          </cell>
          <cell r="D3310">
            <v>11.91</v>
          </cell>
        </row>
        <row r="3311">
          <cell r="A3311">
            <v>85367</v>
          </cell>
          <cell r="B3311" t="str">
            <v>DEMOLICAO DE PISO EM LADRILHO COM ARGAMASSA</v>
          </cell>
          <cell r="C3311" t="str">
            <v>M2</v>
          </cell>
          <cell r="D3311">
            <v>8.64</v>
          </cell>
        </row>
        <row r="3312">
          <cell r="A3312">
            <v>85368</v>
          </cell>
          <cell r="B3312" t="str">
            <v>DEMOLICAO DE ESTRUTURA METALICA S/ REMOCAO</v>
          </cell>
          <cell r="C3312" t="str">
            <v>M3</v>
          </cell>
          <cell r="D3312">
            <v>29.91</v>
          </cell>
        </row>
        <row r="3313">
          <cell r="A3313">
            <v>85369</v>
          </cell>
          <cell r="B3313" t="str">
            <v>REMOCAO DE FORRO DE MADEIRA (LAMBRI) C/ REAPROVEITAMENTO</v>
          </cell>
          <cell r="C3313" t="str">
            <v>M2</v>
          </cell>
          <cell r="D3313">
            <v>20.55</v>
          </cell>
        </row>
        <row r="3314">
          <cell r="A3314">
            <v>85370</v>
          </cell>
          <cell r="B3314" t="str">
            <v>DEMOLICAO MANUAL DE LAJE PREMOLDADA COM TRANSPORTE E CARGA EM CAMINHAO BASCULANTE</v>
          </cell>
          <cell r="C3314" t="str">
            <v>M3</v>
          </cell>
          <cell r="D3314">
            <v>140.65</v>
          </cell>
        </row>
        <row r="3315">
          <cell r="A3315">
            <v>85371</v>
          </cell>
          <cell r="B3315" t="str">
            <v>REMOCAO DE PISO EM CARPETE</v>
          </cell>
          <cell r="C3315" t="str">
            <v>M2</v>
          </cell>
          <cell r="D3315">
            <v>1.68</v>
          </cell>
        </row>
        <row r="3316">
          <cell r="A3316">
            <v>85372</v>
          </cell>
          <cell r="B3316" t="str">
            <v>DEMOLICAO DE FORRO DE GESSO</v>
          </cell>
          <cell r="C3316" t="str">
            <v>M2</v>
          </cell>
          <cell r="D3316">
            <v>1.37</v>
          </cell>
        </row>
        <row r="3317">
          <cell r="A3317">
            <v>85373</v>
          </cell>
          <cell r="B3317" t="str">
            <v>DEMOLICAO DE CAIBROS E RIPAS</v>
          </cell>
          <cell r="C3317" t="str">
            <v>M2</v>
          </cell>
          <cell r="D3317">
            <v>2.73</v>
          </cell>
        </row>
        <row r="3318">
          <cell r="A3318">
            <v>85374</v>
          </cell>
          <cell r="B3318" t="str">
            <v>REMOCAO DE DISPOSITIVOS PARA FUNCIONAMENTO DE APARELHOS SANITARIOS</v>
          </cell>
          <cell r="C3318" t="str">
            <v>UN</v>
          </cell>
          <cell r="D3318">
            <v>6.1</v>
          </cell>
        </row>
        <row r="3319">
          <cell r="A3319">
            <v>85375</v>
          </cell>
          <cell r="B3319" t="str">
            <v>REMOCAO DE BLOKRET COM EMPILHAMENTO</v>
          </cell>
          <cell r="C3319" t="str">
            <v>M2</v>
          </cell>
          <cell r="D3319">
            <v>7.19</v>
          </cell>
        </row>
        <row r="3320">
          <cell r="A3320">
            <v>85376</v>
          </cell>
          <cell r="B3320" t="str">
            <v>DEMOLICAO DE PISO VINILICO</v>
          </cell>
          <cell r="C3320" t="str">
            <v>M2</v>
          </cell>
          <cell r="D3320">
            <v>3.08</v>
          </cell>
        </row>
        <row r="3321">
          <cell r="A3321">
            <v>85377</v>
          </cell>
          <cell r="B3321" t="str">
            <v>DESMONTAGEM E REMOCAO DE DIVISORIAS DE MARMORE OU GRANITO</v>
          </cell>
          <cell r="C3321" t="str">
            <v>M2</v>
          </cell>
          <cell r="D3321">
            <v>22.17</v>
          </cell>
        </row>
        <row r="3322">
          <cell r="A3322">
            <v>85378</v>
          </cell>
          <cell r="B3322" t="str">
            <v>DESMONTAGEM E REMOCAO DE PAINEIS DE DIVISORIAS DE MADEIRA</v>
          </cell>
          <cell r="C3322" t="str">
            <v>M2</v>
          </cell>
          <cell r="D3322">
            <v>21.17</v>
          </cell>
        </row>
        <row r="3323">
          <cell r="A3323">
            <v>85379</v>
          </cell>
          <cell r="B3323" t="str">
            <v>DEMOLICAO DE CERCA DE ARAME FARPADO E MOUROES DE CONCRETO S/ REMOCAO</v>
          </cell>
          <cell r="C3323" t="str">
            <v>M</v>
          </cell>
          <cell r="D3323">
            <v>1.37</v>
          </cell>
        </row>
        <row r="3324">
          <cell r="A3324">
            <v>85381</v>
          </cell>
          <cell r="B3324" t="str">
            <v>RETIRADA DE COBERTURA COM TELHA ARDOSIA, INCLUINDO ESTRUTURA DE MADEIRA</v>
          </cell>
          <cell r="C3324" t="str">
            <v>M2</v>
          </cell>
          <cell r="D3324">
            <v>35.36</v>
          </cell>
        </row>
        <row r="3325">
          <cell r="A3325">
            <v>85382</v>
          </cell>
          <cell r="B3325" t="str">
            <v>REMOCAO DE PROTECAO MECANICA DE IMPERMEABILIZACAO</v>
          </cell>
          <cell r="C3325" t="str">
            <v>M2</v>
          </cell>
          <cell r="D3325">
            <v>11.45</v>
          </cell>
        </row>
        <row r="3326">
          <cell r="A3326">
            <v>85383</v>
          </cell>
          <cell r="B3326" t="str">
            <v>REMOCAO DE CALHAS E CONDUTORES DE AGUAS PLUVIAIS</v>
          </cell>
          <cell r="C3326" t="str">
            <v>M</v>
          </cell>
          <cell r="D3326">
            <v>1.83</v>
          </cell>
        </row>
        <row r="3327">
          <cell r="A3327">
            <v>85384</v>
          </cell>
          <cell r="B3327" t="str">
            <v>REMOCAO MANUAL DE PASSEIO EM PEDRA PORTUGUESA</v>
          </cell>
          <cell r="C3327" t="str">
            <v>M2</v>
          </cell>
          <cell r="D3327">
            <v>5.03</v>
          </cell>
        </row>
        <row r="3328">
          <cell r="A3328">
            <v>85386</v>
          </cell>
          <cell r="B3328" t="str">
            <v>REMOCAO MANUAL DE PAVIMENTACAO DE LAJOES DE GRANITO EM PASSEIOS</v>
          </cell>
          <cell r="C3328" t="str">
            <v>M2</v>
          </cell>
          <cell r="D3328">
            <v>10.99</v>
          </cell>
        </row>
        <row r="3329">
          <cell r="A3329">
            <v>85387</v>
          </cell>
          <cell r="B3329" t="str">
            <v>REMOCAO MANUAL DE ENTULHO</v>
          </cell>
          <cell r="C3329" t="str">
            <v>M3</v>
          </cell>
          <cell r="D3329">
            <v>32.979999999999997</v>
          </cell>
        </row>
        <row r="3330">
          <cell r="A3330">
            <v>85389</v>
          </cell>
          <cell r="B3330" t="str">
            <v>REMOCAO TUBULACAO FF C/ DN 400 A 600MM EXCLUINDO ESCAVACAO/REATERRO</v>
          </cell>
          <cell r="C3330" t="str">
            <v>M</v>
          </cell>
          <cell r="D3330">
            <v>47.64</v>
          </cell>
        </row>
        <row r="3331">
          <cell r="A3331">
            <v>85390</v>
          </cell>
          <cell r="B3331" t="str">
            <v>REMOCAO TUBULACAO FF C/ DN 50 A 300MM EXCLUINDO ESCAVACAO/REATERRO</v>
          </cell>
          <cell r="C3331" t="str">
            <v>M</v>
          </cell>
          <cell r="D3331">
            <v>23.71</v>
          </cell>
        </row>
        <row r="3332">
          <cell r="A3332">
            <v>85392</v>
          </cell>
          <cell r="B3332" t="str">
            <v>REMOCAO TUBULACAO FF C/ DN 700 A 1200MM EXCLUINDO ESCAVACAO/REATERRO</v>
          </cell>
          <cell r="C3332" t="str">
            <v>M</v>
          </cell>
          <cell r="D3332">
            <v>116.34</v>
          </cell>
        </row>
        <row r="3333">
          <cell r="A3333">
            <v>85397</v>
          </cell>
          <cell r="B3333" t="str">
            <v>RETIRADA DE AZULEJO COLADO</v>
          </cell>
          <cell r="C3333" t="str">
            <v>M2</v>
          </cell>
          <cell r="D3333">
            <v>12.33</v>
          </cell>
        </row>
        <row r="3334">
          <cell r="A3334">
            <v>85406</v>
          </cell>
          <cell r="B3334" t="str">
            <v>REMOCAO DE AZULEJO E SUBSTRATO DE ADERENCIA EM ARGAMASSA</v>
          </cell>
          <cell r="C3334" t="str">
            <v>M2</v>
          </cell>
          <cell r="D3334">
            <v>25.69</v>
          </cell>
        </row>
        <row r="3335">
          <cell r="A3335">
            <v>85407</v>
          </cell>
          <cell r="B3335" t="str">
            <v>REMOCAO DE FIACAO ELETRICA</v>
          </cell>
          <cell r="C3335" t="str">
            <v>M</v>
          </cell>
          <cell r="D3335">
            <v>5.42</v>
          </cell>
        </row>
        <row r="3336">
          <cell r="A3336">
            <v>85408</v>
          </cell>
          <cell r="B3336" t="str">
            <v>REMOCAO DE PEITORIL EM MARMORE OU GRANITO</v>
          </cell>
          <cell r="C3336" t="str">
            <v>M2</v>
          </cell>
          <cell r="D3336">
            <v>18.5</v>
          </cell>
        </row>
        <row r="3337">
          <cell r="A3337">
            <v>85409</v>
          </cell>
          <cell r="B3337" t="str">
            <v>REMOCAO DE PISO EM PLACAS DE BORRACHA COLADA</v>
          </cell>
          <cell r="C3337" t="str">
            <v>M2</v>
          </cell>
          <cell r="D3337">
            <v>3.76</v>
          </cell>
        </row>
        <row r="3338">
          <cell r="A3338">
            <v>85410</v>
          </cell>
          <cell r="B3338" t="str">
            <v>REMOCAO DE RALO SECO OU SIFONADO</v>
          </cell>
          <cell r="C3338" t="str">
            <v>UN</v>
          </cell>
          <cell r="D3338">
            <v>9.1</v>
          </cell>
        </row>
        <row r="3339">
          <cell r="A3339">
            <v>85411</v>
          </cell>
          <cell r="B3339" t="str">
            <v>REMOCAO DE RODAPE CERAMICO</v>
          </cell>
          <cell r="C3339" t="str">
            <v>M</v>
          </cell>
          <cell r="D3339">
            <v>1.92</v>
          </cell>
        </row>
        <row r="3340">
          <cell r="A3340">
            <v>85412</v>
          </cell>
          <cell r="B3340" t="str">
            <v>REMOCAO DE RODAPE DE MARMORE OU GRANITO</v>
          </cell>
          <cell r="C3340" t="str">
            <v>M</v>
          </cell>
          <cell r="D3340">
            <v>2.77</v>
          </cell>
        </row>
        <row r="3341">
          <cell r="A3341">
            <v>85413</v>
          </cell>
          <cell r="B3341" t="str">
            <v>REMOCAO DE RODAPE VINILICO OU DE BORRACHA COLADA</v>
          </cell>
          <cell r="C3341" t="str">
            <v>M</v>
          </cell>
          <cell r="D3341">
            <v>1.47</v>
          </cell>
        </row>
        <row r="3342">
          <cell r="A3342">
            <v>85414</v>
          </cell>
          <cell r="B3342" t="str">
            <v>REMOCAO DE RUFO OU CALHA METALICA</v>
          </cell>
          <cell r="C3342" t="str">
            <v>M</v>
          </cell>
          <cell r="D3342">
            <v>3.76</v>
          </cell>
        </row>
        <row r="3343">
          <cell r="A3343">
            <v>85415</v>
          </cell>
          <cell r="B3343" t="str">
            <v>REMOCAO DE DISPOSITIVOS PARA FUNCIONAMENTO DE PIA DE COZINHA</v>
          </cell>
          <cell r="C3343" t="str">
            <v>UN</v>
          </cell>
          <cell r="D3343">
            <v>5.69</v>
          </cell>
        </row>
        <row r="3344">
          <cell r="A3344">
            <v>85416</v>
          </cell>
          <cell r="B3344" t="str">
            <v>REMOCAO DE TOMADAS OU INTERRUPTORES ELETRICOS</v>
          </cell>
          <cell r="C3344" t="str">
            <v>UN</v>
          </cell>
          <cell r="D3344">
            <v>7.65</v>
          </cell>
        </row>
        <row r="3345">
          <cell r="A3345">
            <v>85417</v>
          </cell>
          <cell r="B3345" t="str">
            <v>RETIRADA DE TUBULACAO HIDROSSANITARIA APARENTE COM CONEXOES, Ø 1/2" A 2"</v>
          </cell>
          <cell r="C3345" t="str">
            <v>M</v>
          </cell>
          <cell r="D3345">
            <v>2.2400000000000002</v>
          </cell>
        </row>
        <row r="3346">
          <cell r="A3346">
            <v>85418</v>
          </cell>
          <cell r="B3346" t="str">
            <v>RETIRADA DE TUBULACAO HIDROSSANITARIA EMBUTIDA COM CONEXOES Ø 1/2" A 2"</v>
          </cell>
          <cell r="C3346" t="str">
            <v>M</v>
          </cell>
          <cell r="D3346">
            <v>4.55</v>
          </cell>
        </row>
        <row r="3347">
          <cell r="A3347">
            <v>85419</v>
          </cell>
          <cell r="B3347" t="str">
            <v>RETIRADA DE TUBULACAO HIDROSSANITARIA APARENTE COM CONEXOES, Ø 2 1/2" A 4"</v>
          </cell>
          <cell r="C3347" t="str">
            <v>M</v>
          </cell>
          <cell r="D3347">
            <v>2.79</v>
          </cell>
        </row>
        <row r="3348">
          <cell r="A3348">
            <v>85420</v>
          </cell>
          <cell r="B3348" t="str">
            <v>RETIRADA DE TUBULACAO HIDROSSANITARIA EMBUTIDA COM CONEXOES, Ø 2 1/2" A 4"</v>
          </cell>
          <cell r="C3348" t="str">
            <v>M</v>
          </cell>
          <cell r="D3348">
            <v>6.82</v>
          </cell>
        </row>
        <row r="3349">
          <cell r="A3349">
            <v>85421</v>
          </cell>
          <cell r="B3349" t="str">
            <v>REMOCAO DE VIDRO COMUM</v>
          </cell>
          <cell r="C3349" t="str">
            <v>M2</v>
          </cell>
          <cell r="D3349">
            <v>6.63</v>
          </cell>
        </row>
        <row r="3350">
          <cell r="A3350" t="str">
            <v>73960/1</v>
          </cell>
          <cell r="B3350" t="str">
            <v>INSTAL/LIGACAO PROVISORIA ELETRICA BAIXA TENSAO P/CANT OBRA           OBRA,M3-CHAVE 100A CARGA 3KWH,20CV EXCL FORN MEDIDOR</v>
          </cell>
          <cell r="C3350" t="str">
            <v>UN</v>
          </cell>
          <cell r="D3350">
            <v>1085.28</v>
          </cell>
        </row>
        <row r="3351">
          <cell r="A3351">
            <v>73683</v>
          </cell>
          <cell r="B3351" t="str">
            <v>INSTALACAO DE GAMBIARRA PARA SINALIZACAO, COM 20 M, INCLUINDO LAMPADA,BOCAL E BALDE A CADA 2 M</v>
          </cell>
          <cell r="C3351" t="str">
            <v>UN</v>
          </cell>
          <cell r="D3351">
            <v>28.55</v>
          </cell>
        </row>
        <row r="3352">
          <cell r="A3352">
            <v>85423</v>
          </cell>
          <cell r="B3352" t="str">
            <v>ISOLAMENTO DE OBRA COM TELA PLASTICA COM MALHA DE 5MM</v>
          </cell>
          <cell r="C3352" t="str">
            <v>M2</v>
          </cell>
          <cell r="D3352">
            <v>4.6100000000000003</v>
          </cell>
        </row>
        <row r="3353">
          <cell r="A3353">
            <v>85424</v>
          </cell>
          <cell r="B3353" t="str">
            <v>ISOLAMENTO DE OBRA COM TELA PLASTICA COM MALHA DE 5MM E ESTRUTURA DE MADEIRA PONTALETEADA</v>
          </cell>
          <cell r="C3353" t="str">
            <v>M2</v>
          </cell>
          <cell r="D3353">
            <v>12.28</v>
          </cell>
        </row>
        <row r="3354">
          <cell r="A3354">
            <v>72742</v>
          </cell>
          <cell r="B3354" t="str">
            <v>ENSAIO DE RECEBIMENTO E ACEITACAO DE CIMENTO PORTLAND</v>
          </cell>
          <cell r="C3354" t="str">
            <v>UN</v>
          </cell>
          <cell r="D3354">
            <v>301.11</v>
          </cell>
        </row>
        <row r="3355">
          <cell r="A3355">
            <v>72743</v>
          </cell>
          <cell r="B3355" t="str">
            <v>ENSAIO DE RECEBIMENTO E ACEITACAO DE AGREGADO GRAUDO</v>
          </cell>
          <cell r="C3355" t="str">
            <v>UN</v>
          </cell>
          <cell r="D3355">
            <v>150.55000000000001</v>
          </cell>
        </row>
        <row r="3356">
          <cell r="A3356" t="str">
            <v>73900/1</v>
          </cell>
          <cell r="B3356" t="str">
            <v>ENSAIOS DE IMPRIMACAO - ASFALTO DILUIDO</v>
          </cell>
          <cell r="C3356" t="str">
            <v>M2</v>
          </cell>
          <cell r="D3356">
            <v>0.02</v>
          </cell>
        </row>
        <row r="3357">
          <cell r="A3357" t="str">
            <v>73900/2</v>
          </cell>
          <cell r="B3357" t="str">
            <v>ENSAIOS DE TRATAMENTO SUPERFICIAL SIMPLES - COM CAP</v>
          </cell>
          <cell r="C3357" t="str">
            <v>M2</v>
          </cell>
          <cell r="D3357">
            <v>7.0000000000000007E-2</v>
          </cell>
        </row>
        <row r="3358">
          <cell r="A3358" t="str">
            <v>73900/3</v>
          </cell>
          <cell r="B3358" t="str">
            <v>ENSAIOS DE TRATAMENTO SUPERFICIAL SIMPLES - COM EMULSAO ASFALTICA</v>
          </cell>
          <cell r="C3358" t="str">
            <v>M2</v>
          </cell>
          <cell r="D3358">
            <v>7.0000000000000007E-2</v>
          </cell>
        </row>
        <row r="3359">
          <cell r="A3359" t="str">
            <v>73900/4</v>
          </cell>
          <cell r="B3359" t="str">
            <v>ENSAIOS DE TRATAMENTO SUPERFICIAL DUPLO - COM CAP</v>
          </cell>
          <cell r="C3359" t="str">
            <v>M2</v>
          </cell>
          <cell r="D3359">
            <v>0.09</v>
          </cell>
        </row>
        <row r="3360">
          <cell r="A3360" t="str">
            <v>73900/5</v>
          </cell>
          <cell r="B3360" t="str">
            <v>ENSAIOS DE TRATAMENTO SUPERFICIAL DUPLO - COM EMULSAO ASFALTICA</v>
          </cell>
          <cell r="C3360" t="str">
            <v>M2</v>
          </cell>
          <cell r="D3360">
            <v>0.13</v>
          </cell>
        </row>
        <row r="3361">
          <cell r="A3361" t="str">
            <v>73900/6</v>
          </cell>
          <cell r="B3361" t="str">
            <v>ENSAIOS DE TRATAMENTO SUPERFICIAL TRIPLO - COM CAP</v>
          </cell>
          <cell r="C3361" t="str">
            <v>M2</v>
          </cell>
          <cell r="D3361">
            <v>0.13</v>
          </cell>
        </row>
        <row r="3362">
          <cell r="A3362" t="str">
            <v>73900/7</v>
          </cell>
          <cell r="B3362" t="str">
            <v>ENSAIOS DE TRATAMENTO SUPERFICIAL TRIPLO - COM EMULSAO ASFALTICA</v>
          </cell>
          <cell r="C3362" t="str">
            <v>M2</v>
          </cell>
          <cell r="D3362">
            <v>0.14000000000000001</v>
          </cell>
        </row>
        <row r="3363">
          <cell r="A3363" t="str">
            <v>73900/8</v>
          </cell>
          <cell r="B3363" t="str">
            <v>ENSAIOS DE MACADAME BETUMINOSO POR PENETRACAO - COM CAP</v>
          </cell>
          <cell r="C3363" t="str">
            <v>M3</v>
          </cell>
          <cell r="D3363">
            <v>0.67</v>
          </cell>
        </row>
        <row r="3364">
          <cell r="A3364" t="str">
            <v>73900/9</v>
          </cell>
          <cell r="B3364" t="str">
            <v>ENSAIOS DE MACADAME BETUMINOSO POR PENETRACAO - COM EMULSAO ASFALTICA</v>
          </cell>
          <cell r="C3364" t="str">
            <v>M3</v>
          </cell>
          <cell r="D3364">
            <v>0.66</v>
          </cell>
        </row>
        <row r="3365">
          <cell r="A3365" t="str">
            <v>73900/10</v>
          </cell>
          <cell r="B3365" t="str">
            <v>ENSAIOS DE PRE MISTURADO A FRIO</v>
          </cell>
          <cell r="C3365" t="str">
            <v>M3</v>
          </cell>
          <cell r="D3365">
            <v>0.51</v>
          </cell>
        </row>
        <row r="3366">
          <cell r="A3366" t="str">
            <v>73900/11</v>
          </cell>
          <cell r="B3366" t="str">
            <v>ENSAIOS DE AREIA ASFALTO A QUENTE</v>
          </cell>
          <cell r="C3366" t="str">
            <v>T</v>
          </cell>
          <cell r="D3366">
            <v>16.98</v>
          </cell>
        </row>
        <row r="3367">
          <cell r="A3367" t="str">
            <v>73900/12</v>
          </cell>
          <cell r="B3367" t="str">
            <v>ENSAIOS DE CONCRETO ASFALTICO</v>
          </cell>
          <cell r="C3367" t="str">
            <v>T</v>
          </cell>
          <cell r="D3367">
            <v>23.67</v>
          </cell>
        </row>
        <row r="3368">
          <cell r="A3368" t="str">
            <v>74020/1</v>
          </cell>
          <cell r="B3368" t="str">
            <v>ENSAIO DE PAVIMENTO DE CONCRETO</v>
          </cell>
          <cell r="C3368" t="str">
            <v>M3</v>
          </cell>
          <cell r="D3368">
            <v>11.59</v>
          </cell>
        </row>
        <row r="3369">
          <cell r="A3369" t="str">
            <v>74020/2</v>
          </cell>
          <cell r="B3369" t="str">
            <v>ENSAIOS DE PAVIMENTO DE CONCRETO COMPACTADO COM ROLO</v>
          </cell>
          <cell r="C3369" t="str">
            <v>M3</v>
          </cell>
          <cell r="D3369">
            <v>10.32</v>
          </cell>
        </row>
        <row r="3370">
          <cell r="A3370" t="str">
            <v>74021/1</v>
          </cell>
          <cell r="B3370" t="str">
            <v>ENSAIOS DE TERRAPLENAGEM - CORPO DO ATERRO</v>
          </cell>
          <cell r="C3370" t="str">
            <v>M3</v>
          </cell>
          <cell r="D3370">
            <v>0.28000000000000003</v>
          </cell>
        </row>
        <row r="3371">
          <cell r="A3371" t="str">
            <v>74021/2</v>
          </cell>
          <cell r="B3371" t="str">
            <v>ENSAIO DE TERRAPLENAGEM - CAMADA FINAL DO ATERRO</v>
          </cell>
          <cell r="C3371" t="str">
            <v>M3</v>
          </cell>
          <cell r="D3371">
            <v>0.9</v>
          </cell>
        </row>
        <row r="3372">
          <cell r="A3372" t="str">
            <v>74021/3</v>
          </cell>
          <cell r="B3372" t="str">
            <v>ENSAIOS DE REGULARIZACAO DO SUBLEITO</v>
          </cell>
          <cell r="C3372" t="str">
            <v>M2</v>
          </cell>
          <cell r="D3372">
            <v>0.42</v>
          </cell>
        </row>
        <row r="3373">
          <cell r="A3373" t="str">
            <v>74021/4</v>
          </cell>
          <cell r="B3373" t="str">
            <v>ENSAIOS DE REFORCO DO SUBLEITO</v>
          </cell>
          <cell r="C3373" t="str">
            <v>M3</v>
          </cell>
          <cell r="D3373">
            <v>0.75</v>
          </cell>
        </row>
        <row r="3374">
          <cell r="A3374" t="str">
            <v>74021/5</v>
          </cell>
          <cell r="B3374" t="str">
            <v>ENSAIOS DE SUB BASE DE SOLO MELHORADO COM CIMENTO</v>
          </cell>
          <cell r="C3374" t="str">
            <v>M3</v>
          </cell>
          <cell r="D3374">
            <v>0.75</v>
          </cell>
        </row>
        <row r="3375">
          <cell r="A3375" t="str">
            <v>74021/6</v>
          </cell>
          <cell r="B3375" t="str">
            <v>ENSAIOS DE BASE ESTABILIZADA GRANULOMETRICAMENTE</v>
          </cell>
          <cell r="C3375" t="str">
            <v>M3</v>
          </cell>
          <cell r="D3375">
            <v>0.81</v>
          </cell>
        </row>
        <row r="3376">
          <cell r="A3376" t="str">
            <v>74021/7</v>
          </cell>
          <cell r="B3376" t="str">
            <v>ENSAIO DE BASE DE SOLO MELHORADO COM CIMENTO</v>
          </cell>
          <cell r="C3376" t="str">
            <v>M3</v>
          </cell>
          <cell r="D3376">
            <v>0.75</v>
          </cell>
        </row>
        <row r="3377">
          <cell r="A3377" t="str">
            <v>74021/8</v>
          </cell>
          <cell r="B3377" t="str">
            <v>ENSAIOS DE BASE DE SOLO CIMENTO</v>
          </cell>
          <cell r="C3377" t="str">
            <v>M3</v>
          </cell>
          <cell r="D3377">
            <v>0.82</v>
          </cell>
        </row>
        <row r="3378">
          <cell r="A3378" t="str">
            <v>74022/1</v>
          </cell>
          <cell r="B3378" t="str">
            <v>ENSAIO DE PENETRACAO - MATERIAL BETUMINOSO</v>
          </cell>
          <cell r="C3378" t="str">
            <v>UN</v>
          </cell>
          <cell r="D3378">
            <v>63.98</v>
          </cell>
        </row>
        <row r="3379">
          <cell r="A3379" t="str">
            <v>74022/2</v>
          </cell>
          <cell r="B3379" t="str">
            <v>ENSAIO DE VISCOSIDADE SAYBOLT - FUROL - MATERIAL BETUMINOSO</v>
          </cell>
          <cell r="C3379" t="str">
            <v>UN</v>
          </cell>
          <cell r="D3379">
            <v>82.8</v>
          </cell>
        </row>
        <row r="3380">
          <cell r="A3380" t="str">
            <v>74022/3</v>
          </cell>
          <cell r="B3380" t="str">
            <v>ENSAIO DE DETERMINACAO DA PENEIRACAO - EMULSAO ASFALTICA</v>
          </cell>
          <cell r="C3380" t="str">
            <v>UN</v>
          </cell>
          <cell r="D3380">
            <v>75.27</v>
          </cell>
        </row>
        <row r="3381">
          <cell r="A3381" t="str">
            <v>74022/4</v>
          </cell>
          <cell r="B3381" t="str">
            <v>ENSAIO DE DETERMINACAO DA SEDIMENTACAO - EMULSAO ASFALTICA</v>
          </cell>
          <cell r="C3381" t="str">
            <v>UN</v>
          </cell>
          <cell r="D3381">
            <v>82.8</v>
          </cell>
        </row>
        <row r="3382">
          <cell r="A3382" t="str">
            <v>74022/5</v>
          </cell>
          <cell r="B3382" t="str">
            <v>ENSAIO DE DETERMINACAO DO TEOR DE BETUME - CIMENTO ASFALTICO DE PETROLEO</v>
          </cell>
          <cell r="C3382" t="str">
            <v>UN</v>
          </cell>
          <cell r="D3382">
            <v>65.86</v>
          </cell>
        </row>
        <row r="3383">
          <cell r="A3383" t="str">
            <v>74022/6</v>
          </cell>
          <cell r="B3383" t="str">
            <v>ENSAIO DE GRANULOMETRIA POR PENEIRAMENTO - SOLOS</v>
          </cell>
          <cell r="C3383" t="str">
            <v>UN</v>
          </cell>
          <cell r="D3383">
            <v>60.22</v>
          </cell>
        </row>
        <row r="3384">
          <cell r="A3384" t="str">
            <v>74022/7</v>
          </cell>
          <cell r="B3384" t="str">
            <v>ENSAIO DE GRANULOMETRIA POR PENEIRAMENTO E SEDIMENTACAO - SOLOS</v>
          </cell>
          <cell r="C3384" t="str">
            <v>UN</v>
          </cell>
          <cell r="D3384">
            <v>71.510000000000005</v>
          </cell>
        </row>
        <row r="3385">
          <cell r="A3385" t="str">
            <v>74022/8</v>
          </cell>
          <cell r="B3385" t="str">
            <v>ENSAIO DE LIMITE DE LIQUIDEZ - SOLOS</v>
          </cell>
          <cell r="C3385" t="str">
            <v>UN</v>
          </cell>
          <cell r="D3385">
            <v>37.630000000000003</v>
          </cell>
        </row>
        <row r="3386">
          <cell r="A3386" t="str">
            <v>74022/9</v>
          </cell>
          <cell r="B3386" t="str">
            <v>ENSAIO DE LIMITE DE PLASTICIDADE - SOLOS</v>
          </cell>
          <cell r="C3386" t="str">
            <v>UN</v>
          </cell>
          <cell r="D3386">
            <v>33.869999999999997</v>
          </cell>
        </row>
        <row r="3387">
          <cell r="A3387" t="str">
            <v>74022/10</v>
          </cell>
          <cell r="B3387" t="str">
            <v>ENSAIO DE COMPACTACAO - AMOSTRAS NAO TRABALHADAS - ENERGIA NORMAL - SOLOS</v>
          </cell>
          <cell r="C3387" t="str">
            <v>UN</v>
          </cell>
          <cell r="D3387">
            <v>71.510000000000005</v>
          </cell>
        </row>
        <row r="3388">
          <cell r="A3388" t="str">
            <v>74022/11</v>
          </cell>
          <cell r="B3388" t="str">
            <v>ENSAIO DE COMPACTACAO - AMOSTRAS NAO TRABALHADAS - ENERGIA INTERMEDIARIA - SOLOS</v>
          </cell>
          <cell r="C3388" t="str">
            <v>UN</v>
          </cell>
          <cell r="D3388">
            <v>109.15</v>
          </cell>
        </row>
        <row r="3389">
          <cell r="A3389" t="str">
            <v>74022/12</v>
          </cell>
          <cell r="B3389" t="str">
            <v>ENSAIO DE COMPACTACAO - AMOSTRAS NAO TRABALHADAS - ENERGIA MODIFICADA - SOLOS</v>
          </cell>
          <cell r="C3389" t="str">
            <v>UN</v>
          </cell>
          <cell r="D3389">
            <v>143.03</v>
          </cell>
        </row>
        <row r="3390">
          <cell r="A3390" t="str">
            <v>74022/13</v>
          </cell>
          <cell r="B3390" t="str">
            <v>ENSAIO DE COMPACTACAO - AMOSTRAS TRABALHADAS - SOLOS</v>
          </cell>
          <cell r="C3390" t="str">
            <v>UN</v>
          </cell>
          <cell r="D3390">
            <v>75.27</v>
          </cell>
        </row>
        <row r="3391">
          <cell r="A3391" t="str">
            <v>74022/14</v>
          </cell>
          <cell r="B3391" t="str">
            <v>ENSAIO DE MASSA ESPECIFICA - IN SITU - METODO FRASCO DE AREIA - SOLOS</v>
          </cell>
          <cell r="C3391" t="str">
            <v>UN</v>
          </cell>
          <cell r="D3391">
            <v>26.34</v>
          </cell>
        </row>
        <row r="3392">
          <cell r="A3392" t="str">
            <v>74022/15</v>
          </cell>
          <cell r="B3392" t="str">
            <v>ENSAIO DE MASSA ESPECIFICA - IN SITU - METODO BALAO DE BORRACHA - SOLOS</v>
          </cell>
          <cell r="C3392" t="str">
            <v>UN</v>
          </cell>
          <cell r="D3392">
            <v>30.11</v>
          </cell>
        </row>
        <row r="3393">
          <cell r="A3393" t="str">
            <v>74022/16</v>
          </cell>
          <cell r="B3393" t="str">
            <v>ENSAIO DE DENSIDADE REAL - SOLOS</v>
          </cell>
          <cell r="C3393" t="str">
            <v>UN</v>
          </cell>
          <cell r="D3393">
            <v>33.869999999999997</v>
          </cell>
        </row>
        <row r="3394">
          <cell r="A3394" t="str">
            <v>74022/17</v>
          </cell>
          <cell r="B3394" t="str">
            <v>ENSAIO DE ABRASAO LOS ANGELES - AGREGADOS</v>
          </cell>
          <cell r="C3394" t="str">
            <v>UN</v>
          </cell>
          <cell r="D3394">
            <v>158.08000000000001</v>
          </cell>
        </row>
        <row r="3395">
          <cell r="A3395" t="str">
            <v>74022/18</v>
          </cell>
          <cell r="B3395" t="str">
            <v>ENSAIO DE MASSA ESPECIFICA - IN SITU - EMPREGO DO OLEO - SOLOS</v>
          </cell>
          <cell r="C3395" t="str">
            <v>UN</v>
          </cell>
          <cell r="D3395">
            <v>41.4</v>
          </cell>
        </row>
        <row r="3396">
          <cell r="A3396" t="str">
            <v>74022/19</v>
          </cell>
          <cell r="B3396" t="str">
            <v>ENSAIO DE INDICE DE SUPORTE CALIFORNIA - AMOSTRAS NAO TRABALHADAS - ENERGIA NORMAL - SOLOS</v>
          </cell>
          <cell r="C3396" t="str">
            <v>UN</v>
          </cell>
          <cell r="D3396">
            <v>86.57</v>
          </cell>
        </row>
        <row r="3397">
          <cell r="A3397" t="str">
            <v>74022/20</v>
          </cell>
          <cell r="B3397" t="str">
            <v>ENSAIO DE INDICE DE SUPORTE CALIFORNIA - AMOSTRAS NAO TRABALHADAS - ENERGIA INTERMEDIARIA - SOLOS</v>
          </cell>
          <cell r="C3397" t="str">
            <v>UN</v>
          </cell>
          <cell r="D3397">
            <v>97.86</v>
          </cell>
        </row>
        <row r="3398">
          <cell r="A3398" t="str">
            <v>74022/21</v>
          </cell>
          <cell r="B3398" t="str">
            <v>ENSAIO DE INDICE DE SUPORTE CALIFORNIA- AMOSTRAS NAO TRABALHADAS - ENERGIA MODIFICADA- SOLOS</v>
          </cell>
          <cell r="C3398" t="str">
            <v>UN</v>
          </cell>
          <cell r="D3398">
            <v>105.39</v>
          </cell>
        </row>
        <row r="3399">
          <cell r="A3399" t="str">
            <v>74022/22</v>
          </cell>
          <cell r="B3399" t="str">
            <v>ENSAIO DE TEOR DE UMIDADE - METODO EXPEDITO DO ALCOOL - SOLOS</v>
          </cell>
          <cell r="C3399" t="str">
            <v>UN</v>
          </cell>
          <cell r="D3399">
            <v>22.58</v>
          </cell>
        </row>
        <row r="3400">
          <cell r="A3400" t="str">
            <v>74022/23</v>
          </cell>
          <cell r="B3400" t="str">
            <v>ENSAIO DE TEOR DE UMIDADE - PROCESSO SPEEDY - SOLOS E AGREGADOS MIUDOS</v>
          </cell>
          <cell r="C3400" t="str">
            <v>UN</v>
          </cell>
          <cell r="D3400">
            <v>22.58</v>
          </cell>
        </row>
        <row r="3401">
          <cell r="A3401" t="str">
            <v>74022/24</v>
          </cell>
          <cell r="B3401" t="str">
            <v>ENSAIO DE TEOR DE UMIDADE - EM LABORATORIO - SOLOS</v>
          </cell>
          <cell r="C3401" t="str">
            <v>UN</v>
          </cell>
          <cell r="D3401">
            <v>30.11</v>
          </cell>
        </row>
        <row r="3402">
          <cell r="A3402" t="str">
            <v>74022/25</v>
          </cell>
          <cell r="B3402" t="str">
            <v>ENSAIO DE PONTO DE FULGOR - MATERIAL BETUMINOSO</v>
          </cell>
          <cell r="C3402" t="str">
            <v>UN</v>
          </cell>
          <cell r="D3402">
            <v>60.22</v>
          </cell>
        </row>
        <row r="3403">
          <cell r="A3403" t="str">
            <v>74022/26</v>
          </cell>
          <cell r="B3403" t="str">
            <v>ENSAIO DE DESTILACAO - ASFALTO DILUIDO</v>
          </cell>
          <cell r="C3403" t="str">
            <v>UN</v>
          </cell>
          <cell r="D3403">
            <v>97.86</v>
          </cell>
        </row>
        <row r="3404">
          <cell r="A3404" t="str">
            <v>74022/27</v>
          </cell>
          <cell r="B3404" t="str">
            <v>ENSAIO DE CONTROLE DE TAXA DE APLICACAO DE LIGANTE BETUMINOSO</v>
          </cell>
          <cell r="C3404" t="str">
            <v>UN</v>
          </cell>
          <cell r="D3404">
            <v>26.34</v>
          </cell>
        </row>
        <row r="3405">
          <cell r="A3405" t="str">
            <v>74022/28</v>
          </cell>
          <cell r="B3405" t="str">
            <v>ENSAIO DE SUSCEPTIBILIDADE TERMICA - INDICE PFEIFFER - MATERIAL ASFALTICO</v>
          </cell>
          <cell r="C3405" t="str">
            <v>UN</v>
          </cell>
          <cell r="D3405">
            <v>94.09</v>
          </cell>
        </row>
        <row r="3406">
          <cell r="A3406" t="str">
            <v>74022/29</v>
          </cell>
          <cell r="B3406" t="str">
            <v>ENSAIO DE ESPUMA - MATERIAL ASFALTICO</v>
          </cell>
          <cell r="C3406" t="str">
            <v>UN</v>
          </cell>
          <cell r="D3406">
            <v>67.75</v>
          </cell>
        </row>
        <row r="3407">
          <cell r="A3407" t="str">
            <v>74022/30</v>
          </cell>
          <cell r="B3407" t="str">
            <v>ENSAIO DE RESISTENCIA A COMPRESSAO SIMPLES - CONCRETO</v>
          </cell>
          <cell r="C3407" t="str">
            <v>UN</v>
          </cell>
          <cell r="D3407">
            <v>67.75</v>
          </cell>
        </row>
        <row r="3408">
          <cell r="A3408" t="str">
            <v>74022/31</v>
          </cell>
          <cell r="B3408" t="str">
            <v>ENSAIO DE RESISTENCIA A TRACAO POR COMPRESSAO DIAMETRAL - CONCRETO</v>
          </cell>
          <cell r="C3408" t="str">
            <v>UN</v>
          </cell>
          <cell r="D3408">
            <v>67.75</v>
          </cell>
        </row>
        <row r="3409">
          <cell r="A3409" t="str">
            <v>74022/32</v>
          </cell>
          <cell r="B3409" t="str">
            <v>ENSAIO DE RESISTENCIA A TRACAO NA FLEXAO DE CONCRETO</v>
          </cell>
          <cell r="C3409" t="str">
            <v>UN</v>
          </cell>
          <cell r="D3409">
            <v>75.27</v>
          </cell>
        </row>
        <row r="3410">
          <cell r="A3410" t="str">
            <v>74022/33</v>
          </cell>
          <cell r="B3410" t="str">
            <v>ENSAIO DE RESILIENCIA - SOLOS</v>
          </cell>
          <cell r="C3410" t="str">
            <v>UN</v>
          </cell>
          <cell r="D3410">
            <v>485.55</v>
          </cell>
        </row>
        <row r="3411">
          <cell r="A3411" t="str">
            <v>74022/34</v>
          </cell>
          <cell r="B3411" t="str">
            <v>ENSAIO DE RESILIENCIA - MISTURAS BETUMINOSAS</v>
          </cell>
          <cell r="C3411" t="str">
            <v>UN</v>
          </cell>
          <cell r="D3411">
            <v>101.62</v>
          </cell>
        </row>
        <row r="3412">
          <cell r="A3412" t="str">
            <v>74022/35</v>
          </cell>
          <cell r="B3412" t="str">
            <v>ENSAIO DE PERCENTAGEM DE BETUME - MISTURAS BETUMINOSAS</v>
          </cell>
          <cell r="C3412" t="str">
            <v>UN</v>
          </cell>
          <cell r="D3412">
            <v>56.45</v>
          </cell>
        </row>
        <row r="3413">
          <cell r="A3413" t="str">
            <v>74022/36</v>
          </cell>
          <cell r="B3413" t="str">
            <v>ENSAIO DE ADESIVIDADE - RESISTENCIA A AGUA - EMULSAO ASFALTICA</v>
          </cell>
          <cell r="C3413" t="str">
            <v>UN</v>
          </cell>
          <cell r="D3413">
            <v>45.16</v>
          </cell>
        </row>
        <row r="3414">
          <cell r="A3414" t="str">
            <v>74022/37</v>
          </cell>
          <cell r="B3414" t="str">
            <v>ENSAIO DE ADESIVIDADE A LIGANTE BETUMINOSO - AGREGADO GRAUDO</v>
          </cell>
          <cell r="C3414" t="str">
            <v>UN</v>
          </cell>
          <cell r="D3414">
            <v>37.630000000000003</v>
          </cell>
        </row>
        <row r="3415">
          <cell r="A3415" t="str">
            <v>74022/38</v>
          </cell>
          <cell r="B3415" t="str">
            <v>ENSAIO DE EXPANSIBILIDADE - SOLOS</v>
          </cell>
          <cell r="C3415" t="str">
            <v>UN</v>
          </cell>
          <cell r="D3415">
            <v>54.57</v>
          </cell>
        </row>
        <row r="3416">
          <cell r="A3416" t="str">
            <v>74022/39</v>
          </cell>
          <cell r="B3416" t="str">
            <v>PREPARACAO DE AMOSTRAS PARA ENSAIO DE CARACTERIZACAO - SOLOS</v>
          </cell>
          <cell r="C3416" t="str">
            <v>UN</v>
          </cell>
          <cell r="D3416">
            <v>41.4</v>
          </cell>
        </row>
        <row r="3417">
          <cell r="A3417" t="str">
            <v>74022/40</v>
          </cell>
          <cell r="B3417" t="str">
            <v>ENSAIO MARSHALL - MISTURA BETUMINOSA A QUENTE</v>
          </cell>
          <cell r="C3417" t="str">
            <v>UN</v>
          </cell>
          <cell r="D3417">
            <v>131.72999999999999</v>
          </cell>
        </row>
        <row r="3418">
          <cell r="A3418" t="str">
            <v>74022/41</v>
          </cell>
          <cell r="B3418" t="str">
            <v>ENSAIO DE DETERMINACAO DO INDICE DE FORMA - AGREGADOS</v>
          </cell>
          <cell r="C3418" t="str">
            <v>UN</v>
          </cell>
          <cell r="D3418">
            <v>37.630000000000003</v>
          </cell>
        </row>
        <row r="3419">
          <cell r="A3419" t="str">
            <v>74022/42</v>
          </cell>
          <cell r="B3419" t="str">
            <v>ENSAIO DE EQUIVALENTE EM AREIA - SOLOS</v>
          </cell>
          <cell r="C3419" t="str">
            <v>UN</v>
          </cell>
          <cell r="D3419">
            <v>33.869999999999997</v>
          </cell>
        </row>
        <row r="3420">
          <cell r="A3420" t="str">
            <v>74022/43</v>
          </cell>
          <cell r="B3420" t="str">
            <v>ENSAIO DE MOLDAGEM E CURA DE SOLO CIMENTO</v>
          </cell>
          <cell r="C3420" t="str">
            <v>UN</v>
          </cell>
          <cell r="D3420">
            <v>37.630000000000003</v>
          </cell>
        </row>
        <row r="3421">
          <cell r="A3421" t="str">
            <v>74022/44</v>
          </cell>
          <cell r="B3421" t="str">
            <v>ENSAIO DE COMPRESSAO AXIAL DE SOLO CIMENTO</v>
          </cell>
          <cell r="C3421" t="str">
            <v>UN</v>
          </cell>
          <cell r="D3421">
            <v>30.11</v>
          </cell>
        </row>
        <row r="3422">
          <cell r="A3422" t="str">
            <v>74022/45</v>
          </cell>
          <cell r="B3422" t="str">
            <v>ENSAIO DE VISCOSIDADE CINEMATICA - ASFALTO</v>
          </cell>
          <cell r="C3422" t="str">
            <v>UN</v>
          </cell>
          <cell r="D3422">
            <v>75.27</v>
          </cell>
        </row>
        <row r="3423">
          <cell r="A3423" t="str">
            <v>74022/47</v>
          </cell>
          <cell r="B3423" t="str">
            <v>ENSAIO DE RESIDUO POR EVAPORACAO - EMULSAO ASFALTICA</v>
          </cell>
          <cell r="C3423" t="str">
            <v>UN</v>
          </cell>
          <cell r="D3423">
            <v>37.630000000000003</v>
          </cell>
        </row>
        <row r="3424">
          <cell r="A3424" t="str">
            <v>74022/48</v>
          </cell>
          <cell r="B3424" t="str">
            <v>ENSAIO DE CARGA DA PARTICULA - EMULSAO ASFALTICA</v>
          </cell>
          <cell r="C3424" t="str">
            <v>UN</v>
          </cell>
          <cell r="D3424">
            <v>28.22</v>
          </cell>
        </row>
        <row r="3425">
          <cell r="A3425" t="str">
            <v>74022/49</v>
          </cell>
          <cell r="B3425" t="str">
            <v>ENSAIO DE DESEMULSIBILIDADE - EMULSAO ASFALTICA</v>
          </cell>
          <cell r="C3425" t="str">
            <v>UN</v>
          </cell>
          <cell r="D3425">
            <v>75.27</v>
          </cell>
        </row>
        <row r="3426">
          <cell r="A3426" t="str">
            <v>74022/50</v>
          </cell>
          <cell r="B3426" t="str">
            <v>ENSAIO DE DETERMINACAO DA TAXA DE ESPALHAMENTO DO AGREGADO</v>
          </cell>
          <cell r="C3426" t="str">
            <v>UN</v>
          </cell>
          <cell r="D3426">
            <v>18.809999999999999</v>
          </cell>
        </row>
        <row r="3427">
          <cell r="A3427" t="str">
            <v>74022/51</v>
          </cell>
          <cell r="B3427" t="str">
            <v>ENSAIO DE ADESIVIDADE A LIGANTE BETUMINOSO - AGREGADO</v>
          </cell>
          <cell r="C3427" t="str">
            <v>UN</v>
          </cell>
          <cell r="D3427">
            <v>41.4</v>
          </cell>
        </row>
        <row r="3428">
          <cell r="A3428" t="str">
            <v>74022/52</v>
          </cell>
          <cell r="B3428" t="str">
            <v>ENSAIO DE GRANULOMETRIA DO AGREGADO</v>
          </cell>
          <cell r="C3428" t="str">
            <v>UN</v>
          </cell>
          <cell r="D3428">
            <v>37.630000000000003</v>
          </cell>
        </row>
        <row r="3429">
          <cell r="A3429" t="str">
            <v>74022/53</v>
          </cell>
          <cell r="B3429" t="str">
            <v>ENSAIO DE CONTROLE DO GRAU DE COMPACTACAO DA MISTURA ASFALTICA</v>
          </cell>
          <cell r="C3429" t="str">
            <v>UN</v>
          </cell>
          <cell r="D3429">
            <v>33.869999999999997</v>
          </cell>
        </row>
        <row r="3430">
          <cell r="A3430" t="str">
            <v>74022/54</v>
          </cell>
          <cell r="B3430" t="str">
            <v>ENSAIO DE GRANULOMETRIA DO FILLER</v>
          </cell>
          <cell r="C3430" t="str">
            <v>UN</v>
          </cell>
          <cell r="D3430">
            <v>33.869999999999997</v>
          </cell>
        </row>
        <row r="3431">
          <cell r="A3431" t="str">
            <v>74022/55</v>
          </cell>
          <cell r="B3431" t="str">
            <v>ENSAIO DE TRACAO POR COMPRESSAO DIAMETRAL - MISTURAS BETUMINOSAS</v>
          </cell>
          <cell r="C3431" t="str">
            <v>UN</v>
          </cell>
          <cell r="D3431">
            <v>94.09</v>
          </cell>
        </row>
        <row r="3432">
          <cell r="A3432" t="str">
            <v>74022/56</v>
          </cell>
          <cell r="B3432" t="str">
            <v>ENSAIO DE DENSIDADE DO MATERIAL BETUMINOSO</v>
          </cell>
          <cell r="C3432" t="str">
            <v>UN</v>
          </cell>
          <cell r="D3432">
            <v>28.18</v>
          </cell>
        </row>
        <row r="3433">
          <cell r="A3433" t="str">
            <v>74022/57</v>
          </cell>
          <cell r="B3433" t="str">
            <v>ENSAIO DE CONSISTENCIA DO CONCRETO CCR - INDICE VEBE</v>
          </cell>
          <cell r="C3433" t="str">
            <v>UN</v>
          </cell>
          <cell r="D3433">
            <v>28.18</v>
          </cell>
        </row>
        <row r="3434">
          <cell r="A3434" t="str">
            <v>74022/58</v>
          </cell>
          <cell r="B3434" t="str">
            <v>ENSAIO DE ABATIMENTO DO TRONCO DE CONE</v>
          </cell>
          <cell r="C3434" t="str">
            <v>UN</v>
          </cell>
          <cell r="D3434">
            <v>28.18</v>
          </cell>
        </row>
        <row r="3435">
          <cell r="A3435">
            <v>74259</v>
          </cell>
          <cell r="B3435" t="str">
            <v>ENSAIOS DE PINTURA DE LIGACAO</v>
          </cell>
          <cell r="C3435" t="str">
            <v>M2</v>
          </cell>
          <cell r="D3435">
            <v>0.01</v>
          </cell>
        </row>
        <row r="3436">
          <cell r="A3436">
            <v>72733</v>
          </cell>
          <cell r="B3436" t="str">
            <v>MOBILIZACAO E INSTALACAO DE 01  EQUIPAMENTO DE SONDAGEM, DISTANCIA ACIMA DE 20KM</v>
          </cell>
          <cell r="C3436" t="str">
            <v>UN</v>
          </cell>
          <cell r="D3436">
            <v>492.71</v>
          </cell>
        </row>
        <row r="3437">
          <cell r="A3437">
            <v>72871</v>
          </cell>
          <cell r="B3437" t="str">
            <v>MOBILIZACAO E INSTALACAO DE 01 EQUIPAMENTO DE SONDAGEM, DISTANCIA ATE 10KM</v>
          </cell>
          <cell r="C3437" t="str">
            <v>UN</v>
          </cell>
          <cell r="D3437">
            <v>207.85</v>
          </cell>
        </row>
        <row r="3438">
          <cell r="A3438">
            <v>72872</v>
          </cell>
          <cell r="B3438" t="str">
            <v>MOBILIZACAO E INSTALACAO DE 01 EQUIPAMENTO DE SONDAGEM, DISTANCIA DE 10KM ATE 20KM</v>
          </cell>
          <cell r="C3438" t="str">
            <v>UN</v>
          </cell>
          <cell r="D3438">
            <v>350.28</v>
          </cell>
        </row>
        <row r="3439">
          <cell r="A3439">
            <v>68051</v>
          </cell>
          <cell r="B3439" t="str">
            <v>LOCACAO ALVENARIA</v>
          </cell>
          <cell r="C3439" t="str">
            <v>M</v>
          </cell>
          <cell r="D3439">
            <v>3.24</v>
          </cell>
        </row>
        <row r="3440">
          <cell r="A3440">
            <v>73610</v>
          </cell>
          <cell r="B3440" t="str">
            <v>LOCAÇÃO DE REDES DE ÁGUA OU DE ESGOTO, INCLUSIVE TOPOGRAFO</v>
          </cell>
          <cell r="C3440" t="str">
            <v>M</v>
          </cell>
          <cell r="D3440">
            <v>0.64</v>
          </cell>
        </row>
        <row r="3441">
          <cell r="A3441">
            <v>73679</v>
          </cell>
          <cell r="B3441" t="str">
            <v>LOCAÇÃO DE ADUTORAS, COLETORES TRONCO E INTERCEPTORES - ATÉ DN 500 MM, INCLUSIVE TOPOGRAFO</v>
          </cell>
          <cell r="C3441" t="str">
            <v>M</v>
          </cell>
          <cell r="D3441">
            <v>0.83</v>
          </cell>
        </row>
        <row r="3442">
          <cell r="A3442">
            <v>73686</v>
          </cell>
          <cell r="B3442" t="str">
            <v>LOCACAO DA OBRA, COM USO DE EQUIPAMENTOS TOPOGRAFICOS, INCLUSIVE TOPOGRAFO E NIVELADOR</v>
          </cell>
          <cell r="C3442" t="str">
            <v>M2</v>
          </cell>
          <cell r="D3442">
            <v>13.8</v>
          </cell>
        </row>
        <row r="3443">
          <cell r="A3443" t="str">
            <v>73992/1</v>
          </cell>
          <cell r="B3443" t="str">
            <v>LOCACAO CONVENCIONAL DE OBRA, ATRAVÉS DE GABARITO DE TABUAS CORRIDAS PONTALETADAS A CADA 1,50M, SEM REAPROVEITAMENTO</v>
          </cell>
          <cell r="C3443" t="str">
            <v>M2</v>
          </cell>
          <cell r="D3443">
            <v>6.73</v>
          </cell>
        </row>
        <row r="3444">
          <cell r="A3444" t="str">
            <v>74077/1</v>
          </cell>
          <cell r="B3444" t="str">
            <v>LOCACAO CONVENCIONAL DE OBRA, ATRAVÉS DE GABARITO DE TABUAS CORRIDAS PONTALETADAS, SEM REAPROVEITAMENTO</v>
          </cell>
          <cell r="C3444" t="str">
            <v>M2</v>
          </cell>
          <cell r="D3444">
            <v>5.85</v>
          </cell>
        </row>
        <row r="3445">
          <cell r="A3445" t="str">
            <v>74077/2</v>
          </cell>
          <cell r="B3445" t="str">
            <v>LOCACAO CONVENCIONAL DE OBRA, ATRAVÉS DE GABARITO DE TABUAS CORRIDAS PONTALETADAS, COM REAPROVEITAMENTO DE 10 VEZES.</v>
          </cell>
          <cell r="C3445" t="str">
            <v>M2</v>
          </cell>
          <cell r="D3445">
            <v>2.58</v>
          </cell>
        </row>
        <row r="3446">
          <cell r="A3446" t="str">
            <v>74077/3</v>
          </cell>
          <cell r="B3446" t="str">
            <v>LOCACAO CONVENCIONAL DE OBRA, ATRAVÉS DE GABARITO DE TABUAS CORRIDAS PONTALETADAS, COM REAPROVEITAMENTO DE 3 VEZES.</v>
          </cell>
          <cell r="C3446" t="str">
            <v>M2</v>
          </cell>
          <cell r="D3446">
            <v>3.42</v>
          </cell>
        </row>
        <row r="3447">
          <cell r="A3447">
            <v>85323</v>
          </cell>
          <cell r="B3447" t="str">
            <v>LOCACAO E NIVELAMENTO DE EMISSARIO/REDE COLETORA COM AUXILIO DE EQUIPAMENTO TOPOGRAFICO</v>
          </cell>
          <cell r="C3447" t="str">
            <v>M</v>
          </cell>
          <cell r="D3447">
            <v>1.02</v>
          </cell>
        </row>
        <row r="3448">
          <cell r="A3448">
            <v>73677</v>
          </cell>
          <cell r="B3448" t="str">
            <v>CADASTRO DE LIGAÇÕES PREDIAIS, INCLUSIVE TOPOGRAFO E DESENHISTA</v>
          </cell>
          <cell r="C3448" t="str">
            <v>UN</v>
          </cell>
          <cell r="D3448">
            <v>6.51</v>
          </cell>
        </row>
        <row r="3449">
          <cell r="A3449">
            <v>73678</v>
          </cell>
          <cell r="B3449" t="str">
            <v>CADASTRO DE ADUTORAS. COLETORES E INTERCEPTORES - ATÉ DN 500 MM, INCLUSIVE TOPOGRAFO E DESENHISTA</v>
          </cell>
          <cell r="C3449" t="str">
            <v>M</v>
          </cell>
          <cell r="D3449">
            <v>1.84</v>
          </cell>
        </row>
        <row r="3450">
          <cell r="A3450">
            <v>73682</v>
          </cell>
          <cell r="B3450" t="str">
            <v>CADASTRO DE REDES, INCLUSIVE TOPOGRAFO E DESENHISTA</v>
          </cell>
          <cell r="C3450" t="str">
            <v>M</v>
          </cell>
          <cell r="D3450">
            <v>0.91</v>
          </cell>
        </row>
        <row r="3451">
          <cell r="A3451" t="str">
            <v>73758/1</v>
          </cell>
          <cell r="B3451" t="str">
            <v>LEVANTAMENTO SECAO TRANSVERSAL C/NIVEL TERRENO NAO ACIDENTADO VEGETAÇÃO DENSA INCLUSIVE DESENHO ESC 1:200 EM PAPEL VEGETAL MILIMETRADO (MEDIDO P/M SECAO), INCLUSIVE NIVELADOR, AUXILIAR DE CALCULO TOPOGRAFICO E DESENHISTA.</v>
          </cell>
          <cell r="C3451" t="str">
            <v>M</v>
          </cell>
          <cell r="D3451">
            <v>1.01</v>
          </cell>
        </row>
        <row r="3452">
          <cell r="A3452">
            <v>78472</v>
          </cell>
          <cell r="B3452" t="str">
            <v>SERVICOS TOPOGRAFICOS PARA PAVIMENTACAO, INCLUSIVE NOTA DE SERVICOS, ACOMPANHAMENTO E GREIDE</v>
          </cell>
          <cell r="C3452" t="str">
            <v>M2</v>
          </cell>
          <cell r="D3452">
            <v>0.31</v>
          </cell>
        </row>
        <row r="3453">
          <cell r="A3453" t="str">
            <v>74038/1</v>
          </cell>
          <cell r="B3453" t="str">
            <v>PORTAO COM MOUROES DE MADEIRA ROLICA, DIAMETRO 11CM, COM 5 FIOS DE ARAME FARPADO Nº 14 CLASSE 250, SEM DOBRADICAS</v>
          </cell>
          <cell r="C3453" t="str">
            <v>M</v>
          </cell>
          <cell r="D3453">
            <v>14.96</v>
          </cell>
        </row>
        <row r="3454">
          <cell r="A3454" t="str">
            <v>74039/1</v>
          </cell>
          <cell r="B3454" t="str">
            <v>CERCA COM MOUROES DE MADEIRA ROLICA, DIAMETRO 11CM, ESPACAMENTO DE 2M, ALTURA LIVRE DE 1M, CRAVADOS 0,5M, COM 5 FIOS DE ARAME FARPADO Nº 14 CLASSE 250</v>
          </cell>
          <cell r="C3454" t="str">
            <v>M</v>
          </cell>
          <cell r="D3454">
            <v>14.96</v>
          </cell>
        </row>
        <row r="3455">
          <cell r="A3455" t="str">
            <v>74118/1</v>
          </cell>
          <cell r="B3455" t="str">
            <v>PLANTIO DE CERCA VIVA COM ARBUSTOS DE ALTURA 50 A 100CM, COM 4UN/M</v>
          </cell>
          <cell r="C3455" t="str">
            <v>M</v>
          </cell>
          <cell r="D3455">
            <v>72.180000000000007</v>
          </cell>
        </row>
        <row r="3456">
          <cell r="A3456" t="str">
            <v>74142/1</v>
          </cell>
          <cell r="B3456" t="str">
            <v>CERCA COM MOUROES DE CONCRETO, RETO, ESPACAMENTO DE 3M, CRAVADOS 0,5M, COM 4 FIOS DE ARAME FARPADO Nº 14 CLASSE 250</v>
          </cell>
          <cell r="C3456" t="str">
            <v>M</v>
          </cell>
          <cell r="D3456">
            <v>29.58</v>
          </cell>
        </row>
        <row r="3457">
          <cell r="A3457" t="str">
            <v>74142/2</v>
          </cell>
          <cell r="B3457" t="str">
            <v>CERCA COM MOUROES DE MADEIRA, 7,5X7,5CM, ESPACAMENTO DE 2M, ALTURA LIVRE DE 2M, CRAVADOS 0,5M, COM 4 FIOS DE ARAME FARPADO Nº 14 CLASSE 250</v>
          </cell>
          <cell r="C3457" t="str">
            <v>M</v>
          </cell>
          <cell r="D3457">
            <v>18.87</v>
          </cell>
        </row>
        <row r="3458">
          <cell r="A3458" t="str">
            <v>74142/3</v>
          </cell>
          <cell r="B3458" t="str">
            <v>CERCA COM MOUROES DE MADEIRA, 7,5X7,5CM, ESPACAMENTO DE 2M, ALTURA LIVRE DE 2M, CRAVADOS 0,5M, COM 8 FIOS DE ARAME FARPADO Nº 14 CLASSE 250</v>
          </cell>
          <cell r="C3458" t="str">
            <v>M</v>
          </cell>
          <cell r="D3458">
            <v>25.38</v>
          </cell>
        </row>
        <row r="3459">
          <cell r="A3459" t="str">
            <v>74142/4</v>
          </cell>
          <cell r="B3459" t="str">
            <v>CERCA COM MOUROES DE CONCRETO, SECAO "T" PONTA INCLINADA, 10X10CM, ESPACAMENTO DE 3M, CRAVADOS 0,5M, COM 11 FIOS DE ARAME FARPADO Nº 16</v>
          </cell>
          <cell r="C3459" t="str">
            <v>M</v>
          </cell>
          <cell r="D3459">
            <v>36.22</v>
          </cell>
        </row>
        <row r="3460">
          <cell r="A3460" t="str">
            <v>74143/1</v>
          </cell>
          <cell r="B3460" t="str">
            <v>CERCA COM MOUROES DE CONCRETO, RETO, 15X15CM, ESPACAMENTO DE 3M, CRAVADOS 0,5M, ESCORAS DE 10X10CM NOS CANTOS, COM 12 FIOS DE ARAME DE ACO OVALADO 15X17</v>
          </cell>
          <cell r="C3460" t="str">
            <v>M</v>
          </cell>
          <cell r="D3460">
            <v>35.119999999999997</v>
          </cell>
        </row>
        <row r="3461">
          <cell r="A3461" t="str">
            <v>74143/2</v>
          </cell>
          <cell r="B3461" t="str">
            <v>CERCA COM MOUROES DE CONCRETO, RETO, 15X15CM, ESPACAMENTO DE 3M, CRAVADOS 0,5M, ESCORAS DE 10X10CM NOS CANTOS, COM 9 FIOS DE ARAME DE ACO OVALADO 15X17</v>
          </cell>
          <cell r="C3461" t="str">
            <v>M</v>
          </cell>
          <cell r="D3461">
            <v>33.979999999999997</v>
          </cell>
        </row>
        <row r="3462">
          <cell r="A3462">
            <v>85171</v>
          </cell>
          <cell r="B3462" t="str">
            <v>RECOMPOSICAO PARCIAL DO ARAME FARPADO Nº 14 CLASSE 250, FIXADO EM CERCA COM MOURÕES DE CONCRETO, RETO, 15X15CM</v>
          </cell>
          <cell r="C3462" t="str">
            <v>M</v>
          </cell>
          <cell r="D3462">
            <v>2.14</v>
          </cell>
        </row>
        <row r="3463">
          <cell r="A3463" t="str">
            <v>73787/1</v>
          </cell>
          <cell r="B3463" t="str">
            <v>ALAMBRADO EM TUBOS DE ACO GALVANIZADO, COM COSTURA, DIN 2440, DIAMETRO 2", ALTURA 3M, FIXADOS A CADA 2M EM BLOCOS DE CONCRETO, COM TELA DE ARAME GALVANIZADO REVESTIDO COM PVC, FIO 12 BWG E MALHA 7,5X7,5CM</v>
          </cell>
          <cell r="C3463" t="str">
            <v>M2</v>
          </cell>
          <cell r="D3463">
            <v>125.47</v>
          </cell>
        </row>
        <row r="3464">
          <cell r="A3464" t="str">
            <v>74244/1</v>
          </cell>
          <cell r="B3464" t="str">
            <v>ALAMBRADO PARA QUADRA POLIESPORTIVA, ESTRUTURADO POR TUBOS DE ACO GALVANIZADO, COM COSTURA, DIN 2440, DIAMETRO 2", COM TELA DE ARAME GALVANIZADO, FIO 14 BWG E MALHA QUADRADA 5X5CM</v>
          </cell>
          <cell r="C3464" t="str">
            <v>M2</v>
          </cell>
          <cell r="D3464">
            <v>91.02</v>
          </cell>
        </row>
        <row r="3465">
          <cell r="A3465">
            <v>85172</v>
          </cell>
          <cell r="B3465" t="str">
            <v>ALAMBRADO EM MOUROES DE CONCRETO "T", ALTURA LIVRE 2M, ESPACADOS A CADA 2M, COM TELA DE ARAME GALVANIZADO, FIO 14 BWG E MALHA QUADRADA 5X5CM</v>
          </cell>
          <cell r="C3465" t="str">
            <v>M</v>
          </cell>
          <cell r="D3465">
            <v>64.36</v>
          </cell>
        </row>
        <row r="3466">
          <cell r="A3466" t="str">
            <v>73788/2</v>
          </cell>
          <cell r="B3466" t="str">
            <v>GRADE EM MADEIRA PARA PROTECAO DE MUDAS DE ARVORES</v>
          </cell>
          <cell r="C3466" t="str">
            <v>UN</v>
          </cell>
          <cell r="D3466">
            <v>85.4</v>
          </cell>
        </row>
        <row r="3467">
          <cell r="A3467" t="str">
            <v>73967/1</v>
          </cell>
          <cell r="B3467" t="str">
            <v>PLANTIO DE ARBUSTO, ALTURA MAIOR QUE 1,00M, EM CAVAS DE 80X80X80CM</v>
          </cell>
          <cell r="C3467" t="str">
            <v>UN</v>
          </cell>
          <cell r="D3467">
            <v>65.900000000000006</v>
          </cell>
        </row>
        <row r="3468">
          <cell r="A3468" t="str">
            <v>73967/2</v>
          </cell>
          <cell r="B3468" t="str">
            <v>PLANTIO DE ARVORE REGIONAL, ALTURA MAIOR QUE 2,00M, EM CAVAS DE 80X80X80CM</v>
          </cell>
          <cell r="C3468" t="str">
            <v>UN</v>
          </cell>
          <cell r="D3468">
            <v>70.900000000000006</v>
          </cell>
        </row>
        <row r="3469">
          <cell r="A3469" t="str">
            <v>73967/4</v>
          </cell>
          <cell r="B3469" t="str">
            <v>IRRIGAÇÃO DE ÁRVORE COM CARRO PIPA</v>
          </cell>
          <cell r="C3469" t="str">
            <v>UN</v>
          </cell>
          <cell r="D3469">
            <v>0.23</v>
          </cell>
        </row>
        <row r="3470">
          <cell r="A3470">
            <v>85178</v>
          </cell>
          <cell r="B3470" t="str">
            <v>PLANTIO DE ARBUSTO COM ALTURA 50 A 100CM, EM CAVA DE 60X60X60CM</v>
          </cell>
          <cell r="C3470" t="str">
            <v>UN</v>
          </cell>
          <cell r="D3470">
            <v>24.38</v>
          </cell>
        </row>
        <row r="3471">
          <cell r="A3471" t="str">
            <v>74236/1</v>
          </cell>
          <cell r="B3471" t="str">
            <v>PLANTIO DE GRAMA BATATAIS EM PLACAS</v>
          </cell>
          <cell r="C3471" t="str">
            <v>M2</v>
          </cell>
          <cell r="D3471">
            <v>5.84</v>
          </cell>
        </row>
        <row r="3472">
          <cell r="A3472">
            <v>85179</v>
          </cell>
          <cell r="B3472" t="str">
            <v>PLANTIO DE GRAMA SAO CARLOS EM LEIVAS</v>
          </cell>
          <cell r="C3472" t="str">
            <v>M2</v>
          </cell>
          <cell r="D3472">
            <v>22.54</v>
          </cell>
        </row>
        <row r="3473">
          <cell r="A3473">
            <v>85180</v>
          </cell>
          <cell r="B3473" t="str">
            <v>PLANTIO DE GRAMA ESMERALDA EM ROLO</v>
          </cell>
          <cell r="C3473" t="str">
            <v>M2</v>
          </cell>
          <cell r="D3473">
            <v>7.74</v>
          </cell>
        </row>
        <row r="3474">
          <cell r="A3474">
            <v>73608</v>
          </cell>
          <cell r="B3474" t="str">
            <v>PISO EM PEDRA PORTUGUESA BRANCA, ASSENTADA SOBRE ARGAMASSA SECA TRACO 1:6 (CIMENTO E AREIA) E REJUNTADA COM ARGAMASSA SECA TRACO 1:2 (CIMENTO E AREIA)</v>
          </cell>
          <cell r="C3474" t="str">
            <v>M2</v>
          </cell>
          <cell r="D3474">
            <v>60.09</v>
          </cell>
        </row>
        <row r="3475">
          <cell r="A3475">
            <v>85181</v>
          </cell>
          <cell r="B3475" t="str">
            <v>PASSEIO EM CONCRETO DESEMPENADO, TRACO 1:2,5:3,5 E ESPESSURA 5CM</v>
          </cell>
          <cell r="C3475" t="str">
            <v>M2</v>
          </cell>
          <cell r="D3475">
            <v>39.24</v>
          </cell>
        </row>
        <row r="3476">
          <cell r="A3476">
            <v>85182</v>
          </cell>
          <cell r="B3476" t="str">
            <v>REVOLVIMENTO E DESTORROAMENTO MANUAL DE SUPERFÍCIE GRAMADA COM PROFUNDIDADE ATÉ 20CM</v>
          </cell>
          <cell r="C3476" t="str">
            <v>M2</v>
          </cell>
          <cell r="D3476">
            <v>1.46</v>
          </cell>
        </row>
        <row r="3477">
          <cell r="A3477">
            <v>85183</v>
          </cell>
          <cell r="B3477" t="str">
            <v>REVOLVIMENTO MANUAL DE SOLO, PROFUNDIDADE ATÉ 20CM</v>
          </cell>
          <cell r="C3477" t="str">
            <v>M2</v>
          </cell>
          <cell r="D3477">
            <v>1.37</v>
          </cell>
        </row>
        <row r="3478">
          <cell r="A3478">
            <v>85184</v>
          </cell>
          <cell r="B3478" t="str">
            <v>RETIRADA DE GRAMA EM PLACAS</v>
          </cell>
          <cell r="C3478" t="str">
            <v>M2</v>
          </cell>
          <cell r="D3478">
            <v>2.29</v>
          </cell>
        </row>
        <row r="3479">
          <cell r="A3479">
            <v>85185</v>
          </cell>
          <cell r="B3479" t="str">
            <v>PODA E LIMPEZA DE ARBUSTO TIPO CERCA VIVA</v>
          </cell>
          <cell r="C3479" t="str">
            <v>M2</v>
          </cell>
          <cell r="D3479">
            <v>2.11</v>
          </cell>
        </row>
        <row r="3480">
          <cell r="A3480">
            <v>85186</v>
          </cell>
          <cell r="B3480" t="str">
            <v>PODA DE ARVORES, COM LIMPEZA DE GALHOS SECOS E RETIRADA DE PARASITAS, INCLUINDO REMOCAO DE ENTULHO</v>
          </cell>
          <cell r="C3480" t="str">
            <v>UN</v>
          </cell>
          <cell r="D3480">
            <v>43.65</v>
          </cell>
        </row>
        <row r="3481">
          <cell r="A3481">
            <v>85187</v>
          </cell>
          <cell r="B3481" t="str">
            <v>APLICACAO DE HERBICIDA SELETIVO EM GRAMADOS, COM FREQUENCIA DE DUAS VEZES AO ANO</v>
          </cell>
          <cell r="C3481" t="str">
            <v>HA</v>
          </cell>
          <cell r="D3481">
            <v>389.51</v>
          </cell>
        </row>
      </sheetData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BDI 1"/>
      <sheetName val="ORÇ"/>
      <sheetName val="MEM CALCULO"/>
      <sheetName val="MEM CALCULO ORÇAFASCIO"/>
      <sheetName val="ESTIMATIVA DE CUSTO"/>
      <sheetName val="CRONO FIS-FINANC"/>
      <sheetName val="CRONO DESEMBOLSO"/>
      <sheetName val="Usina CBUQ"/>
      <sheetName val="Bota-fora"/>
      <sheetName val="Mapa BF"/>
      <sheetName val="COMPOSIÇÕES"/>
      <sheetName val="QCI"/>
      <sheetName val="COTAÇÃO"/>
    </sheetNames>
    <sheetDataSet>
      <sheetData sheetId="0">
        <row r="6">
          <cell r="B6" t="str">
            <v>Prefeitura Municipal de São Caetano do Sul</v>
          </cell>
        </row>
        <row r="22">
          <cell r="D22" t="str">
            <v>Empreitada por Preço Global</v>
          </cell>
          <cell r="E22" t="str">
            <v>Desonerado</v>
          </cell>
        </row>
        <row r="23">
          <cell r="D23" t="str">
            <v>Empreitada por Preço Unitário</v>
          </cell>
          <cell r="E23" t="str">
            <v>Não Desonerado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BDI (1)"/>
      <sheetName val="BDI (2)"/>
      <sheetName val="PO"/>
      <sheetName val="PLQ"/>
      <sheetName val="CFF"/>
    </sheetNames>
    <sheetDataSet>
      <sheetData sheetId="0">
        <row r="31">
          <cell r="A31" t="str">
            <v>Orçamento Base para Licitação</v>
          </cell>
        </row>
      </sheetData>
      <sheetData sheetId="1"/>
      <sheetData sheetId="2"/>
      <sheetData sheetId="3">
        <row r="5">
          <cell r="C5">
            <v>0</v>
          </cell>
        </row>
        <row r="6">
          <cell r="C6" t="str">
            <v>SINAPI</v>
          </cell>
        </row>
        <row r="7">
          <cell r="C7" t="str">
            <v>SICRO</v>
          </cell>
        </row>
        <row r="8">
          <cell r="C8" t="str">
            <v>COMPOSIÇÃO</v>
          </cell>
        </row>
        <row r="9">
          <cell r="C9" t="str">
            <v>MERCADO</v>
          </cell>
        </row>
      </sheetData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LHA"/>
      <sheetName val="BDI"/>
      <sheetName val="COMPOSIÇÕES"/>
      <sheetName val="CFF"/>
      <sheetName val="PROPOSTA COMERCIAL"/>
      <sheetName val="CONSOLIDADO"/>
      <sheetName val="COMPARAÇÃO"/>
      <sheetName val="AGITH-CEF"/>
      <sheetName val="AGITH-PMSCS"/>
      <sheetName val="SINAPI"/>
      <sheetName val="CPOS"/>
      <sheetName val="CPOS-I"/>
      <sheetName val="SIURB-EDIF"/>
      <sheetName val="SIURB-INFRA"/>
    </sheetNames>
    <sheetDataSet>
      <sheetData sheetId="0" refreshError="1"/>
      <sheetData sheetId="1" refreshError="1">
        <row r="36">
          <cell r="N36" t="str">
            <v>Construção e Reforma de Edifícios</v>
          </cell>
        </row>
        <row r="37">
          <cell r="N37" t="str">
            <v xml:space="preserve"> Construção de Praças Urbanas, Rodovias, Ferrovias e recapeamento e pavimentação de vias urbanas </v>
          </cell>
        </row>
        <row r="38">
          <cell r="N38" t="str">
            <v xml:space="preserve"> Construção de Redes de Abastecimento de Água, Coleta de Esgoto </v>
          </cell>
        </row>
        <row r="39">
          <cell r="N39" t="str">
            <v xml:space="preserve"> Construção e Manutenção de Estações e Redes de Distribuição de Energia Elétrica </v>
          </cell>
        </row>
        <row r="40">
          <cell r="N40" t="str">
            <v xml:space="preserve"> Obras Portuárias, Marítimas e Fluviais </v>
          </cell>
        </row>
        <row r="41">
          <cell r="N41" t="str">
            <v xml:space="preserve"> Fornecimento de Materiais e Equipamentos (aquisição indireta - em conjunto com licitação de obras) </v>
          </cell>
        </row>
        <row r="42">
          <cell r="N42" t="str">
            <v xml:space="preserve"> Fornecimento de Materiais e Equipamentos (aquisição direta)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3563D-A995-46EA-BC81-0A84D46F0A95}">
  <sheetPr codeName="Planilha1"/>
  <dimension ref="A1:G32"/>
  <sheetViews>
    <sheetView showGridLines="0" showWhiteSpace="0" zoomScaleNormal="100" workbookViewId="0">
      <selection activeCell="J13" sqref="J13"/>
    </sheetView>
  </sheetViews>
  <sheetFormatPr defaultRowHeight="15" x14ac:dyDescent="0.25"/>
  <cols>
    <col min="1" max="1" width="3" customWidth="1"/>
    <col min="2" max="2" width="48.7109375" style="1" bestFit="1" customWidth="1"/>
    <col min="3" max="3" width="3.140625" style="1" bestFit="1" customWidth="1"/>
    <col min="4" max="4" width="28.42578125" style="74" bestFit="1" customWidth="1"/>
    <col min="5" max="5" width="4.42578125" bestFit="1" customWidth="1"/>
    <col min="6" max="6" width="37.7109375" bestFit="1" customWidth="1"/>
    <col min="7" max="7" width="16.7109375" customWidth="1"/>
    <col min="8" max="9" width="11" customWidth="1"/>
    <col min="10" max="10" width="9.140625" customWidth="1"/>
    <col min="13" max="13" width="9.140625" customWidth="1"/>
  </cols>
  <sheetData>
    <row r="1" spans="1:7" ht="10.5" customHeight="1" thickBot="1" x14ac:dyDescent="0.3"/>
    <row r="2" spans="1:7" ht="45" customHeight="1" thickBot="1" x14ac:dyDescent="0.3">
      <c r="B2" s="201" t="s">
        <v>145</v>
      </c>
      <c r="C2" s="202"/>
      <c r="D2" s="203"/>
      <c r="E2" s="203"/>
      <c r="F2" s="203"/>
      <c r="G2" s="203"/>
    </row>
    <row r="3" spans="1:7" ht="15.75" thickBot="1" x14ac:dyDescent="0.3">
      <c r="A3" s="16"/>
      <c r="B3" s="18" t="s">
        <v>32</v>
      </c>
      <c r="C3" s="212" t="s">
        <v>8</v>
      </c>
      <c r="D3" s="213"/>
      <c r="E3" s="213"/>
      <c r="F3" s="214"/>
      <c r="G3" s="84" t="s">
        <v>9</v>
      </c>
    </row>
    <row r="4" spans="1:7" ht="15.75" customHeight="1" thickBot="1" x14ac:dyDescent="0.3">
      <c r="A4" s="16"/>
      <c r="B4" s="195" t="s">
        <v>130</v>
      </c>
      <c r="C4" s="199" t="s">
        <v>19</v>
      </c>
      <c r="D4" s="199" t="s">
        <v>116</v>
      </c>
      <c r="E4" s="62" t="s">
        <v>178</v>
      </c>
      <c r="F4" s="85" t="s">
        <v>180</v>
      </c>
      <c r="G4" s="88">
        <f>'2-PLAN. DE COMP.DE CUSTOS'!I35</f>
        <v>0</v>
      </c>
    </row>
    <row r="5" spans="1:7" ht="15.75" customHeight="1" thickBot="1" x14ac:dyDescent="0.3">
      <c r="B5" s="196"/>
      <c r="C5" s="200"/>
      <c r="D5" s="200"/>
      <c r="E5" s="62" t="s">
        <v>179</v>
      </c>
      <c r="F5" s="83" t="s">
        <v>181</v>
      </c>
      <c r="G5" s="77">
        <f>'2-PLAN. DE COMP.DE CUSTOS'!I48</f>
        <v>0</v>
      </c>
    </row>
    <row r="6" spans="1:7" ht="15.75" thickBot="1" x14ac:dyDescent="0.3">
      <c r="B6" s="197"/>
      <c r="C6" s="61" t="s">
        <v>20</v>
      </c>
      <c r="D6" s="209" t="s">
        <v>117</v>
      </c>
      <c r="E6" s="210"/>
      <c r="F6" s="211"/>
      <c r="G6" s="77">
        <f>'2-PLAN. DE COMP.DE CUSTOS'!I61</f>
        <v>0</v>
      </c>
    </row>
    <row r="7" spans="1:7" ht="15.75" thickBot="1" x14ac:dyDescent="0.3">
      <c r="B7" s="197"/>
      <c r="C7" s="206" t="s">
        <v>62</v>
      </c>
      <c r="D7" s="215" t="s">
        <v>127</v>
      </c>
      <c r="E7" s="62" t="s">
        <v>63</v>
      </c>
      <c r="F7" s="62" t="s">
        <v>128</v>
      </c>
      <c r="G7" s="77">
        <f>'2-PLAN. DE COMP.DE CUSTOS'!I76</f>
        <v>0</v>
      </c>
    </row>
    <row r="8" spans="1:7" ht="15.75" thickBot="1" x14ac:dyDescent="0.3">
      <c r="B8" s="197"/>
      <c r="C8" s="207"/>
      <c r="D8" s="216"/>
      <c r="E8" s="62" t="s">
        <v>66</v>
      </c>
      <c r="F8" s="62" t="s">
        <v>141</v>
      </c>
      <c r="G8" s="77">
        <f>'2-PLAN. DE COMP.DE CUSTOS'!I89</f>
        <v>0</v>
      </c>
    </row>
    <row r="9" spans="1:7" ht="15.75" thickBot="1" x14ac:dyDescent="0.3">
      <c r="B9" s="198"/>
      <c r="C9" s="61" t="s">
        <v>67</v>
      </c>
      <c r="D9" s="209" t="s">
        <v>118</v>
      </c>
      <c r="E9" s="210"/>
      <c r="F9" s="211"/>
      <c r="G9" s="77">
        <f>'2-PLAN. DE COMP.DE CUSTOS'!I102</f>
        <v>0</v>
      </c>
    </row>
    <row r="10" spans="1:7" ht="15.75" customHeight="1" thickBot="1" x14ac:dyDescent="0.3">
      <c r="B10" s="217" t="s">
        <v>142</v>
      </c>
      <c r="C10" s="193" t="s">
        <v>69</v>
      </c>
      <c r="D10" s="204" t="s">
        <v>129</v>
      </c>
      <c r="E10" s="64" t="s">
        <v>73</v>
      </c>
      <c r="F10" s="64" t="s">
        <v>119</v>
      </c>
      <c r="G10" s="77">
        <f>'2-PLAN. DE COMP.DE CUSTOS'!I119</f>
        <v>0</v>
      </c>
    </row>
    <row r="11" spans="1:7" ht="15.75" thickBot="1" x14ac:dyDescent="0.3">
      <c r="B11" s="218"/>
      <c r="C11" s="208"/>
      <c r="D11" s="220"/>
      <c r="E11" s="64" t="s">
        <v>74</v>
      </c>
      <c r="F11" s="64" t="s">
        <v>120</v>
      </c>
      <c r="G11" s="77">
        <f>'2-PLAN. DE COMP.DE CUSTOS'!I132</f>
        <v>0</v>
      </c>
    </row>
    <row r="12" spans="1:7" ht="15.75" thickBot="1" x14ac:dyDescent="0.3">
      <c r="B12" s="218"/>
      <c r="C12" s="194"/>
      <c r="D12" s="205"/>
      <c r="E12" s="64" t="s">
        <v>75</v>
      </c>
      <c r="F12" s="64" t="s">
        <v>132</v>
      </c>
      <c r="G12" s="77">
        <f>'2-PLAN. DE COMP.DE CUSTOS'!I145</f>
        <v>0</v>
      </c>
    </row>
    <row r="13" spans="1:7" ht="15.75" thickBot="1" x14ac:dyDescent="0.3">
      <c r="B13" s="218"/>
      <c r="C13" s="193" t="s">
        <v>72</v>
      </c>
      <c r="D13" s="204" t="s">
        <v>131</v>
      </c>
      <c r="E13" s="64" t="s">
        <v>80</v>
      </c>
      <c r="F13" s="64" t="s">
        <v>140</v>
      </c>
      <c r="G13" s="77">
        <f>'2-PLAN. DE COMP.DE CUSTOS'!I160</f>
        <v>0</v>
      </c>
    </row>
    <row r="14" spans="1:7" ht="15.75" thickBot="1" x14ac:dyDescent="0.3">
      <c r="B14" s="218"/>
      <c r="C14" s="194"/>
      <c r="D14" s="205"/>
      <c r="E14" s="64" t="s">
        <v>83</v>
      </c>
      <c r="F14" s="64" t="s">
        <v>139</v>
      </c>
      <c r="G14" s="77">
        <f>'2-PLAN. DE COMP.DE CUSTOS'!I173</f>
        <v>0</v>
      </c>
    </row>
    <row r="15" spans="1:7" ht="15.75" thickBot="1" x14ac:dyDescent="0.3">
      <c r="B15" s="218"/>
      <c r="C15" s="193" t="s">
        <v>84</v>
      </c>
      <c r="D15" s="191" t="s">
        <v>11</v>
      </c>
      <c r="E15" s="64" t="s">
        <v>86</v>
      </c>
      <c r="F15" s="64" t="s">
        <v>138</v>
      </c>
      <c r="G15" s="77">
        <f>'2-PLAN. DE COMP.DE CUSTOS'!I188</f>
        <v>0</v>
      </c>
    </row>
    <row r="16" spans="1:7" ht="15.75" thickBot="1" x14ac:dyDescent="0.3">
      <c r="B16" s="218"/>
      <c r="C16" s="194"/>
      <c r="D16" s="192"/>
      <c r="E16" s="64" t="s">
        <v>89</v>
      </c>
      <c r="F16" s="64" t="s">
        <v>137</v>
      </c>
      <c r="G16" s="77">
        <f>'2-PLAN. DE COMP.DE CUSTOS'!I201</f>
        <v>0</v>
      </c>
    </row>
    <row r="17" spans="2:7" ht="15.75" thickBot="1" x14ac:dyDescent="0.3">
      <c r="B17" s="218"/>
      <c r="C17" s="63" t="s">
        <v>90</v>
      </c>
      <c r="D17" s="188" t="s">
        <v>133</v>
      </c>
      <c r="E17" s="189"/>
      <c r="F17" s="190"/>
      <c r="G17" s="77">
        <f>'2-PLAN. DE COMP.DE CUSTOS'!I214</f>
        <v>0</v>
      </c>
    </row>
    <row r="18" spans="2:7" ht="15.75" thickBot="1" x14ac:dyDescent="0.3">
      <c r="B18" s="218"/>
      <c r="C18" s="193" t="s">
        <v>92</v>
      </c>
      <c r="D18" s="191" t="s">
        <v>134</v>
      </c>
      <c r="E18" s="64" t="s">
        <v>95</v>
      </c>
      <c r="F18" s="64" t="s">
        <v>135</v>
      </c>
      <c r="G18" s="77">
        <f>'2-PLAN. DE COMP.DE CUSTOS'!I229</f>
        <v>0</v>
      </c>
    </row>
    <row r="19" spans="2:7" ht="15.75" thickBot="1" x14ac:dyDescent="0.3">
      <c r="B19" s="218"/>
      <c r="C19" s="194"/>
      <c r="D19" s="192"/>
      <c r="E19" s="64" t="s">
        <v>96</v>
      </c>
      <c r="F19" s="64" t="s">
        <v>121</v>
      </c>
      <c r="G19" s="77">
        <f>'2-PLAN. DE COMP.DE CUSTOS'!I242</f>
        <v>0</v>
      </c>
    </row>
    <row r="20" spans="2:7" ht="15.75" thickBot="1" x14ac:dyDescent="0.3">
      <c r="B20" s="218"/>
      <c r="C20" s="193" t="s">
        <v>99</v>
      </c>
      <c r="D20" s="191" t="s">
        <v>136</v>
      </c>
      <c r="E20" s="64" t="s">
        <v>100</v>
      </c>
      <c r="F20" s="64" t="s">
        <v>10</v>
      </c>
      <c r="G20" s="77">
        <f>'2-PLAN. DE COMP.DE CUSTOS'!I257</f>
        <v>0</v>
      </c>
    </row>
    <row r="21" spans="2:7" ht="15.75" thickBot="1" x14ac:dyDescent="0.3">
      <c r="B21" s="219"/>
      <c r="C21" s="194"/>
      <c r="D21" s="192"/>
      <c r="E21" s="64" t="s">
        <v>101</v>
      </c>
      <c r="F21" s="64" t="s">
        <v>122</v>
      </c>
      <c r="G21" s="77">
        <f>'2-PLAN. DE COMP.DE CUSTOS'!I270</f>
        <v>0</v>
      </c>
    </row>
    <row r="22" spans="2:7" ht="15.75" thickBot="1" x14ac:dyDescent="0.3">
      <c r="B22" s="183" t="s">
        <v>143</v>
      </c>
      <c r="C22" s="65" t="s">
        <v>105</v>
      </c>
      <c r="D22" s="185" t="s">
        <v>123</v>
      </c>
      <c r="E22" s="186"/>
      <c r="F22" s="187"/>
      <c r="G22" s="77">
        <f>'2-PLAN. DE COMP.DE CUSTOS'!I285</f>
        <v>0</v>
      </c>
    </row>
    <row r="23" spans="2:7" ht="15.75" thickBot="1" x14ac:dyDescent="0.3">
      <c r="B23" s="184"/>
      <c r="C23" s="65" t="s">
        <v>107</v>
      </c>
      <c r="D23" s="185" t="s">
        <v>126</v>
      </c>
      <c r="E23" s="186"/>
      <c r="F23" s="187"/>
      <c r="G23" s="77">
        <f>'2-PLAN. DE COMP.DE CUSTOS'!I298</f>
        <v>0</v>
      </c>
    </row>
    <row r="24" spans="2:7" ht="15.75" thickBot="1" x14ac:dyDescent="0.3">
      <c r="B24" s="184"/>
      <c r="C24" s="78" t="s">
        <v>110</v>
      </c>
      <c r="D24" s="185" t="s">
        <v>124</v>
      </c>
      <c r="E24" s="186"/>
      <c r="F24" s="187"/>
      <c r="G24" s="77">
        <f>'2-PLAN. DE COMP.DE CUSTOS'!I311</f>
        <v>0</v>
      </c>
    </row>
    <row r="25" spans="2:7" ht="15.75" thickBot="1" x14ac:dyDescent="0.3">
      <c r="B25" s="184"/>
      <c r="C25" s="65" t="s">
        <v>112</v>
      </c>
      <c r="D25" s="185" t="s">
        <v>125</v>
      </c>
      <c r="E25" s="186"/>
      <c r="F25" s="187"/>
      <c r="G25" s="77">
        <f>'2-PLAN. DE COMP.DE CUSTOS'!I324</f>
        <v>0</v>
      </c>
    </row>
    <row r="26" spans="2:7" ht="15.75" thickBot="1" x14ac:dyDescent="0.3">
      <c r="B26" s="184"/>
      <c r="C26" s="65" t="s">
        <v>113</v>
      </c>
      <c r="D26" s="185" t="s">
        <v>144</v>
      </c>
      <c r="E26" s="186"/>
      <c r="F26" s="187"/>
      <c r="G26" s="77">
        <f>'2-PLAN. DE COMP.DE CUSTOS'!I337</f>
        <v>0</v>
      </c>
    </row>
    <row r="27" spans="2:7" ht="15.75" thickBot="1" x14ac:dyDescent="0.3">
      <c r="B27" s="19"/>
      <c r="C27" s="19"/>
      <c r="D27" s="75"/>
      <c r="E27" s="69"/>
      <c r="F27" s="71" t="s">
        <v>33</v>
      </c>
      <c r="G27" s="80">
        <f>G5+G6+G7+G8+G9+G10+G11+G12+G13+G14+G15+G16+G17+G18+G19+G20+G21+G22+G23+G24+G25+G26</f>
        <v>0</v>
      </c>
    </row>
    <row r="28" spans="2:7" ht="15.75" thickBot="1" x14ac:dyDescent="0.3">
      <c r="B28" s="19"/>
      <c r="C28" s="19"/>
      <c r="D28" s="76"/>
      <c r="E28" s="70"/>
      <c r="F28" s="72" t="s">
        <v>34</v>
      </c>
      <c r="G28" s="68">
        <f>G27*0.2011</f>
        <v>0</v>
      </c>
    </row>
    <row r="29" spans="2:7" ht="15.75" x14ac:dyDescent="0.25">
      <c r="B29" s="19"/>
      <c r="C29" s="19"/>
      <c r="D29" s="76"/>
      <c r="E29" s="66"/>
      <c r="F29" s="73" t="s">
        <v>146</v>
      </c>
      <c r="G29" s="67">
        <f>G27+G28</f>
        <v>0</v>
      </c>
    </row>
    <row r="30" spans="2:7" ht="15.75" thickBot="1" x14ac:dyDescent="0.3">
      <c r="F30" s="11"/>
    </row>
    <row r="31" spans="2:7" ht="16.5" thickTop="1" thickBot="1" x14ac:dyDescent="0.3">
      <c r="D31" s="1"/>
      <c r="F31" s="177" t="s">
        <v>188</v>
      </c>
      <c r="G31" s="178" t="s">
        <v>189</v>
      </c>
    </row>
    <row r="32" spans="2:7" ht="15.75" thickTop="1" x14ac:dyDescent="0.25">
      <c r="F32" s="79" t="s">
        <v>177</v>
      </c>
    </row>
  </sheetData>
  <sheetProtection algorithmName="SHA-512" hashValue="x4Pl/VISo5y6D93cfWOvq1x9kn6cO3JAhMpIlF9RdtHeVlstfEMLlXXGVM5kA4zTFuMIpFV23jAhBYkddeHhhg==" saltValue="amRIuTqOt9PTVLx5JylR2Q==" spinCount="100000" sheet="1" objects="1" scenarios="1"/>
  <mergeCells count="27">
    <mergeCell ref="B4:B9"/>
    <mergeCell ref="D4:D5"/>
    <mergeCell ref="C4:C5"/>
    <mergeCell ref="B2:G2"/>
    <mergeCell ref="D13:D14"/>
    <mergeCell ref="C7:C8"/>
    <mergeCell ref="C10:C12"/>
    <mergeCell ref="C13:C14"/>
    <mergeCell ref="D6:F6"/>
    <mergeCell ref="D9:F9"/>
    <mergeCell ref="C3:F3"/>
    <mergeCell ref="D7:D8"/>
    <mergeCell ref="B10:B21"/>
    <mergeCell ref="D10:D12"/>
    <mergeCell ref="D15:D16"/>
    <mergeCell ref="C15:C16"/>
    <mergeCell ref="D17:F17"/>
    <mergeCell ref="D18:D19"/>
    <mergeCell ref="C18:C19"/>
    <mergeCell ref="D20:D21"/>
    <mergeCell ref="C20:C21"/>
    <mergeCell ref="B22:B26"/>
    <mergeCell ref="D22:F22"/>
    <mergeCell ref="D23:F23"/>
    <mergeCell ref="D25:F25"/>
    <mergeCell ref="D26:F26"/>
    <mergeCell ref="D24:F24"/>
  </mergeCells>
  <printOptions horizontalCentered="1"/>
  <pageMargins left="0" right="0" top="0" bottom="0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rPlanilhaComoPDF">
                <anchor moveWithCells="1" sizeWithCells="1">
                  <from>
                    <xdr:col>6</xdr:col>
                    <xdr:colOff>28575</xdr:colOff>
                    <xdr:row>1</xdr:row>
                    <xdr:rowOff>85725</xdr:rowOff>
                  </from>
                  <to>
                    <xdr:col>6</xdr:col>
                    <xdr:colOff>609600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lvarTodasAsAbasComoPDF">
                <anchor moveWithCells="1" sizeWithCells="1">
                  <from>
                    <xdr:col>5</xdr:col>
                    <xdr:colOff>1762125</xdr:colOff>
                    <xdr:row>1</xdr:row>
                    <xdr:rowOff>95250</xdr:rowOff>
                  </from>
                  <to>
                    <xdr:col>5</xdr:col>
                    <xdr:colOff>2495550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C4ADB-2BF2-4A18-BFD9-2F64F338AA38}">
  <sheetPr codeName="Planilha2">
    <pageSetUpPr fitToPage="1"/>
  </sheetPr>
  <dimension ref="A1:R356"/>
  <sheetViews>
    <sheetView showGridLines="0" tabSelected="1" zoomScale="85" zoomScaleNormal="85" workbookViewId="0">
      <pane ySplit="19" topLeftCell="A20" activePane="bottomLeft" state="frozen"/>
      <selection activeCell="K13" sqref="K13"/>
      <selection pane="bottomLeft" activeCell="E21" sqref="E21:I21"/>
    </sheetView>
  </sheetViews>
  <sheetFormatPr defaultRowHeight="15" x14ac:dyDescent="0.25"/>
  <cols>
    <col min="1" max="1" width="2.7109375" style="3" customWidth="1"/>
    <col min="2" max="2" width="10.85546875" style="2" customWidth="1"/>
    <col min="3" max="3" width="9.140625" style="3"/>
    <col min="4" max="4" width="11.28515625" style="3" customWidth="1"/>
    <col min="5" max="5" width="77.140625" style="3" customWidth="1"/>
    <col min="6" max="6" width="9.140625" style="3"/>
    <col min="7" max="7" width="12.5703125" style="3" bestFit="1" customWidth="1"/>
    <col min="8" max="8" width="14.28515625" style="3" customWidth="1"/>
    <col min="9" max="9" width="19.85546875" style="3" customWidth="1"/>
    <col min="10" max="10" width="2.7109375" style="3" customWidth="1"/>
    <col min="11" max="11" width="11.28515625" style="3" customWidth="1"/>
    <col min="12" max="12" width="14.85546875" style="3" customWidth="1"/>
    <col min="13" max="13" width="11.42578125" style="3" customWidth="1"/>
    <col min="14" max="17" width="8.7109375" style="3" customWidth="1"/>
    <col min="18" max="18" width="2.7109375" style="3" customWidth="1"/>
    <col min="19" max="16384" width="9.140625" style="3"/>
  </cols>
  <sheetData>
    <row r="1" spans="1:18" x14ac:dyDescent="0.25">
      <c r="A1" s="92"/>
      <c r="D1" s="93"/>
      <c r="E1" s="93"/>
      <c r="F1" s="93"/>
      <c r="G1" s="94"/>
      <c r="H1" s="93"/>
      <c r="I1" s="94"/>
      <c r="J1" s="93"/>
      <c r="K1" s="95"/>
      <c r="L1" s="95"/>
      <c r="M1" s="95"/>
      <c r="N1" s="95"/>
      <c r="O1" s="95"/>
      <c r="P1" s="95"/>
      <c r="Q1" s="96"/>
      <c r="R1" s="93"/>
    </row>
    <row r="2" spans="1:18" x14ac:dyDescent="0.25">
      <c r="A2" s="92"/>
      <c r="C2" s="157"/>
      <c r="D2" s="221" t="s">
        <v>51</v>
      </c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3"/>
    </row>
    <row r="3" spans="1:18" x14ac:dyDescent="0.25">
      <c r="A3" s="92"/>
      <c r="C3" s="151">
        <v>1</v>
      </c>
      <c r="D3" s="158" t="s">
        <v>185</v>
      </c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6"/>
    </row>
    <row r="4" spans="1:18" x14ac:dyDescent="0.25">
      <c r="A4" s="92"/>
      <c r="C4" s="97">
        <v>2</v>
      </c>
      <c r="D4" s="152" t="s">
        <v>172</v>
      </c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4"/>
    </row>
    <row r="5" spans="1:18" x14ac:dyDescent="0.25">
      <c r="A5" s="92"/>
      <c r="C5" s="98">
        <v>3</v>
      </c>
      <c r="D5" s="224" t="s">
        <v>187</v>
      </c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6"/>
    </row>
    <row r="6" spans="1:18" x14ac:dyDescent="0.25">
      <c r="A6" s="92"/>
      <c r="C6" s="97">
        <v>4</v>
      </c>
      <c r="D6" s="240" t="s">
        <v>173</v>
      </c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2"/>
    </row>
    <row r="7" spans="1:18" x14ac:dyDescent="0.25">
      <c r="A7" s="92"/>
      <c r="C7" s="98">
        <v>5</v>
      </c>
      <c r="D7" s="224" t="s">
        <v>174</v>
      </c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6"/>
    </row>
    <row r="8" spans="1:18" x14ac:dyDescent="0.25">
      <c r="A8" s="92"/>
      <c r="C8" s="97">
        <v>6</v>
      </c>
      <c r="D8" s="240" t="s">
        <v>166</v>
      </c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2"/>
    </row>
    <row r="9" spans="1:18" x14ac:dyDescent="0.25">
      <c r="A9" s="92"/>
      <c r="C9" s="98">
        <v>7</v>
      </c>
      <c r="D9" s="224" t="s">
        <v>167</v>
      </c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6"/>
    </row>
    <row r="10" spans="1:18" x14ac:dyDescent="0.25">
      <c r="A10" s="92"/>
      <c r="C10" s="97">
        <v>8</v>
      </c>
      <c r="D10" s="240" t="s">
        <v>170</v>
      </c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241"/>
      <c r="R10" s="242"/>
    </row>
    <row r="11" spans="1:18" x14ac:dyDescent="0.25">
      <c r="A11" s="92"/>
      <c r="C11" s="98">
        <v>9</v>
      </c>
      <c r="D11" s="224" t="s">
        <v>171</v>
      </c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6"/>
    </row>
    <row r="12" spans="1:18" x14ac:dyDescent="0.25">
      <c r="A12" s="92"/>
      <c r="C12" s="97">
        <v>10</v>
      </c>
      <c r="D12" s="240" t="s">
        <v>175</v>
      </c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2"/>
    </row>
    <row r="13" spans="1:18" x14ac:dyDescent="0.25">
      <c r="A13" s="92"/>
      <c r="C13" s="98">
        <v>11</v>
      </c>
      <c r="D13" s="224" t="s">
        <v>176</v>
      </c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6"/>
    </row>
    <row r="14" spans="1:18" x14ac:dyDescent="0.25">
      <c r="A14" s="92"/>
      <c r="C14" s="97">
        <v>12</v>
      </c>
      <c r="D14" s="182" t="s">
        <v>190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179"/>
    </row>
    <row r="15" spans="1:18" ht="30" customHeight="1" x14ac:dyDescent="0.25">
      <c r="A15" s="92"/>
      <c r="C15" s="180">
        <v>13</v>
      </c>
      <c r="D15" s="239" t="s">
        <v>184</v>
      </c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</row>
    <row r="16" spans="1:18" x14ac:dyDescent="0.25">
      <c r="A16" s="92"/>
      <c r="C16" s="181">
        <v>14</v>
      </c>
      <c r="D16" s="250" t="s">
        <v>191</v>
      </c>
      <c r="E16" s="251"/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2"/>
    </row>
    <row r="17" spans="1:18" x14ac:dyDescent="0.25">
      <c r="A17" s="92"/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99"/>
      <c r="Q17" s="100"/>
    </row>
    <row r="18" spans="1:18" x14ac:dyDescent="0.25">
      <c r="A18" s="92"/>
      <c r="B18" s="25"/>
      <c r="C18" s="92"/>
      <c r="D18" s="92"/>
      <c r="E18" s="92"/>
      <c r="F18" s="92"/>
      <c r="G18" s="101"/>
      <c r="H18" s="92"/>
      <c r="I18" s="101"/>
      <c r="J18" s="92"/>
      <c r="K18" s="102"/>
      <c r="L18" s="102"/>
      <c r="M18" s="102"/>
      <c r="N18" s="102"/>
      <c r="O18" s="102"/>
      <c r="P18" s="102"/>
      <c r="Q18" s="103"/>
      <c r="R18" s="92"/>
    </row>
    <row r="19" spans="1:18" ht="50.1" customHeight="1" thickBot="1" x14ac:dyDescent="0.3">
      <c r="A19" s="104"/>
      <c r="B19" s="147"/>
      <c r="C19" s="105"/>
      <c r="D19" s="105"/>
      <c r="E19" s="148" t="s">
        <v>28</v>
      </c>
      <c r="F19" s="105"/>
      <c r="G19" s="106"/>
      <c r="H19" s="106"/>
      <c r="I19" s="106"/>
      <c r="J19" s="104"/>
      <c r="K19" s="24" t="s">
        <v>41</v>
      </c>
      <c r="L19" s="24"/>
      <c r="M19" s="24"/>
      <c r="N19" s="24"/>
      <c r="O19" s="24"/>
      <c r="P19" s="24"/>
      <c r="Q19" s="24"/>
      <c r="R19" s="104"/>
    </row>
    <row r="20" spans="1:18" ht="5.0999999999999996" customHeight="1" x14ac:dyDescent="0.25">
      <c r="A20" s="92"/>
      <c r="B20" s="238"/>
      <c r="C20" s="238"/>
      <c r="D20" s="238"/>
      <c r="E20" s="238"/>
      <c r="F20" s="238"/>
      <c r="G20" s="238"/>
      <c r="H20" s="238"/>
      <c r="I20" s="238"/>
      <c r="J20" s="92"/>
      <c r="K20" s="231"/>
      <c r="L20" s="231"/>
      <c r="M20" s="231"/>
      <c r="N20" s="231"/>
      <c r="O20" s="231"/>
      <c r="P20" s="231"/>
      <c r="Q20" s="231"/>
      <c r="R20" s="92"/>
    </row>
    <row r="21" spans="1:18" ht="12.95" customHeight="1" x14ac:dyDescent="0.25">
      <c r="A21" s="107"/>
      <c r="B21" s="227" t="s">
        <v>152</v>
      </c>
      <c r="C21" s="227"/>
      <c r="D21" s="108" t="s">
        <v>12</v>
      </c>
      <c r="E21" s="229" t="s">
        <v>36</v>
      </c>
      <c r="F21" s="229"/>
      <c r="G21" s="229"/>
      <c r="H21" s="229"/>
      <c r="I21" s="229"/>
      <c r="J21" s="107"/>
      <c r="K21" s="232" t="s">
        <v>50</v>
      </c>
      <c r="L21" s="235" t="s">
        <v>147</v>
      </c>
      <c r="M21" s="235"/>
      <c r="N21" s="235"/>
      <c r="O21" s="235"/>
      <c r="P21" s="235"/>
      <c r="Q21" s="235"/>
      <c r="R21" s="107"/>
    </row>
    <row r="22" spans="1:18" ht="12.95" customHeight="1" x14ac:dyDescent="0.25">
      <c r="A22" s="107"/>
      <c r="B22" s="227"/>
      <c r="C22" s="227"/>
      <c r="D22" s="108" t="s">
        <v>13</v>
      </c>
      <c r="E22" s="229" t="s">
        <v>37</v>
      </c>
      <c r="F22" s="229"/>
      <c r="G22" s="229"/>
      <c r="H22" s="229"/>
      <c r="I22" s="229"/>
      <c r="J22" s="107"/>
      <c r="K22" s="232"/>
      <c r="L22" s="235" t="s">
        <v>148</v>
      </c>
      <c r="M22" s="235"/>
      <c r="N22" s="235"/>
      <c r="O22" s="235"/>
      <c r="P22" s="235"/>
      <c r="Q22" s="235"/>
      <c r="R22" s="107"/>
    </row>
    <row r="23" spans="1:18" ht="12.95" customHeight="1" x14ac:dyDescent="0.25">
      <c r="A23" s="107"/>
      <c r="B23" s="227"/>
      <c r="C23" s="227"/>
      <c r="D23" s="108" t="s">
        <v>14</v>
      </c>
      <c r="E23" s="229" t="s">
        <v>38</v>
      </c>
      <c r="F23" s="229"/>
      <c r="G23" s="229"/>
      <c r="H23" s="229"/>
      <c r="I23" s="229"/>
      <c r="J23" s="107"/>
      <c r="K23" s="232"/>
      <c r="L23" s="235" t="s">
        <v>149</v>
      </c>
      <c r="M23" s="235"/>
      <c r="N23" s="235"/>
      <c r="O23" s="235"/>
      <c r="P23" s="235"/>
      <c r="Q23" s="235"/>
      <c r="R23" s="107"/>
    </row>
    <row r="24" spans="1:18" ht="12.95" customHeight="1" x14ac:dyDescent="0.25">
      <c r="A24" s="107"/>
      <c r="B24" s="227"/>
      <c r="C24" s="227"/>
      <c r="D24" s="108" t="s">
        <v>15</v>
      </c>
      <c r="E24" s="229" t="s">
        <v>39</v>
      </c>
      <c r="F24" s="229"/>
      <c r="G24" s="229"/>
      <c r="H24" s="229"/>
      <c r="I24" s="229"/>
      <c r="J24" s="107"/>
      <c r="K24" s="232"/>
      <c r="L24" s="235" t="s">
        <v>150</v>
      </c>
      <c r="M24" s="236"/>
      <c r="N24" s="236"/>
      <c r="O24" s="236"/>
      <c r="P24" s="236"/>
      <c r="Q24" s="236"/>
      <c r="R24" s="107"/>
    </row>
    <row r="25" spans="1:18" ht="12.95" customHeight="1" x14ac:dyDescent="0.25">
      <c r="A25" s="107"/>
      <c r="B25" s="227"/>
      <c r="C25" s="227"/>
      <c r="D25" s="108" t="s">
        <v>35</v>
      </c>
      <c r="E25" s="229" t="s">
        <v>40</v>
      </c>
      <c r="F25" s="229"/>
      <c r="G25" s="229"/>
      <c r="H25" s="229"/>
      <c r="I25" s="229"/>
      <c r="J25" s="107"/>
      <c r="K25" s="232"/>
      <c r="L25" s="235" t="s">
        <v>151</v>
      </c>
      <c r="M25" s="236"/>
      <c r="N25" s="236"/>
      <c r="O25" s="236"/>
      <c r="P25" s="236"/>
      <c r="Q25" s="236"/>
      <c r="R25" s="107"/>
    </row>
    <row r="26" spans="1:18" ht="5.0999999999999996" customHeight="1" x14ac:dyDescent="0.25">
      <c r="A26" s="92"/>
      <c r="B26" s="228"/>
      <c r="C26" s="228"/>
      <c r="D26" s="228"/>
      <c r="E26" s="228"/>
      <c r="F26" s="228"/>
      <c r="G26" s="228"/>
      <c r="H26" s="228"/>
      <c r="I26" s="228"/>
      <c r="J26" s="92"/>
      <c r="K26" s="231"/>
      <c r="L26" s="231"/>
      <c r="M26" s="231"/>
      <c r="N26" s="231"/>
      <c r="O26" s="231"/>
      <c r="P26" s="231"/>
      <c r="Q26" s="231"/>
      <c r="R26" s="92"/>
    </row>
    <row r="27" spans="1:18" ht="51.75" customHeight="1" x14ac:dyDescent="0.25">
      <c r="A27" s="20"/>
      <c r="B27" s="227" t="s">
        <v>27</v>
      </c>
      <c r="C27" s="227" t="s">
        <v>21</v>
      </c>
      <c r="D27" s="227" t="s">
        <v>1</v>
      </c>
      <c r="E27" s="227" t="s">
        <v>2</v>
      </c>
      <c r="F27" s="227" t="s">
        <v>22</v>
      </c>
      <c r="G27" s="233" t="s">
        <v>23</v>
      </c>
      <c r="H27" s="227" t="s">
        <v>24</v>
      </c>
      <c r="I27" s="233" t="s">
        <v>25</v>
      </c>
      <c r="J27" s="20"/>
      <c r="K27" s="21" t="s">
        <v>42</v>
      </c>
      <c r="L27" s="21"/>
      <c r="M27" s="21"/>
      <c r="N27" s="22" t="s">
        <v>49</v>
      </c>
      <c r="O27" s="22"/>
      <c r="P27" s="22"/>
      <c r="Q27" s="23" t="s">
        <v>24</v>
      </c>
      <c r="R27" s="20"/>
    </row>
    <row r="28" spans="1:18" ht="5.0999999999999996" customHeight="1" x14ac:dyDescent="0.25">
      <c r="A28" s="92"/>
      <c r="B28" s="227"/>
      <c r="C28" s="227"/>
      <c r="D28" s="227"/>
      <c r="E28" s="227"/>
      <c r="F28" s="227"/>
      <c r="G28" s="233"/>
      <c r="H28" s="227"/>
      <c r="I28" s="233"/>
      <c r="J28" s="92"/>
      <c r="K28" s="237"/>
      <c r="L28" s="237"/>
      <c r="M28" s="237"/>
      <c r="N28" s="237"/>
      <c r="O28" s="237"/>
      <c r="P28" s="237"/>
      <c r="Q28" s="237"/>
      <c r="R28" s="92"/>
    </row>
    <row r="29" spans="1:18" ht="24" customHeight="1" x14ac:dyDescent="0.25">
      <c r="A29" s="92"/>
      <c r="B29" s="227"/>
      <c r="C29" s="227"/>
      <c r="D29" s="227"/>
      <c r="E29" s="227"/>
      <c r="F29" s="227"/>
      <c r="G29" s="233"/>
      <c r="H29" s="227"/>
      <c r="I29" s="233"/>
      <c r="J29" s="92"/>
      <c r="K29" s="23" t="s">
        <v>47</v>
      </c>
      <c r="L29" s="23" t="s">
        <v>48</v>
      </c>
      <c r="M29" s="23" t="s">
        <v>43</v>
      </c>
      <c r="N29" s="23" t="s">
        <v>44</v>
      </c>
      <c r="O29" s="23" t="s">
        <v>45</v>
      </c>
      <c r="P29" s="23" t="s">
        <v>46</v>
      </c>
      <c r="Q29" s="100"/>
      <c r="R29" s="92"/>
    </row>
    <row r="30" spans="1:18" ht="5.0999999999999996" customHeight="1" x14ac:dyDescent="0.25">
      <c r="A30" s="92"/>
      <c r="B30" s="12"/>
      <c r="C30" s="12"/>
      <c r="D30" s="12"/>
      <c r="E30" s="12"/>
      <c r="F30" s="12"/>
      <c r="G30" s="81"/>
      <c r="H30" s="12"/>
      <c r="I30" s="81"/>
      <c r="J30" s="92"/>
      <c r="K30" s="23"/>
      <c r="L30" s="23"/>
      <c r="M30" s="23"/>
      <c r="N30" s="23"/>
      <c r="O30" s="23"/>
      <c r="P30" s="23"/>
      <c r="Q30" s="100"/>
      <c r="R30" s="92"/>
    </row>
    <row r="31" spans="1:18" ht="15" customHeight="1" x14ac:dyDescent="0.25">
      <c r="A31" s="92"/>
      <c r="B31" s="39">
        <v>1</v>
      </c>
      <c r="C31" s="40" t="s">
        <v>18</v>
      </c>
      <c r="D31" s="41"/>
      <c r="E31" s="41"/>
      <c r="F31" s="41"/>
      <c r="G31" s="42"/>
      <c r="H31" s="41"/>
      <c r="I31" s="42"/>
      <c r="J31" s="92"/>
      <c r="K31" s="82"/>
      <c r="L31" s="82"/>
      <c r="M31" s="82"/>
      <c r="N31" s="82"/>
      <c r="O31" s="82"/>
      <c r="P31" s="82"/>
      <c r="Q31" s="109"/>
      <c r="R31" s="92"/>
    </row>
    <row r="32" spans="1:18" ht="5.0999999999999996" customHeight="1" x14ac:dyDescent="0.25">
      <c r="A32" s="92"/>
      <c r="B32" s="12"/>
      <c r="C32" s="12"/>
      <c r="D32" s="12"/>
      <c r="E32" s="12"/>
      <c r="F32" s="12"/>
      <c r="G32" s="81"/>
      <c r="H32" s="12"/>
      <c r="I32" s="81"/>
      <c r="J32" s="92"/>
      <c r="K32" s="23"/>
      <c r="L32" s="23"/>
      <c r="M32" s="23"/>
      <c r="N32" s="23"/>
      <c r="O32" s="23"/>
      <c r="P32" s="23"/>
      <c r="Q32" s="100"/>
      <c r="R32" s="92"/>
    </row>
    <row r="33" spans="1:18" ht="15" customHeight="1" x14ac:dyDescent="0.25">
      <c r="A33" s="92"/>
      <c r="B33" s="13" t="s">
        <v>19</v>
      </c>
      <c r="C33" s="14" t="s">
        <v>17</v>
      </c>
      <c r="D33" s="7"/>
      <c r="E33" s="7"/>
      <c r="F33" s="7"/>
      <c r="G33" s="9"/>
      <c r="H33" s="7"/>
      <c r="I33" s="9"/>
      <c r="J33" s="92"/>
      <c r="K33" s="234"/>
      <c r="L33" s="234"/>
      <c r="M33" s="234"/>
      <c r="N33" s="234"/>
      <c r="O33" s="234"/>
      <c r="P33" s="234"/>
      <c r="Q33" s="234"/>
      <c r="R33" s="92"/>
    </row>
    <row r="34" spans="1:18" ht="5.0999999999999996" customHeight="1" x14ac:dyDescent="0.25">
      <c r="A34" s="92"/>
      <c r="B34" s="6"/>
      <c r="G34" s="110"/>
      <c r="I34" s="110"/>
      <c r="J34" s="92"/>
      <c r="K34" s="100"/>
      <c r="L34" s="100"/>
      <c r="M34" s="100"/>
      <c r="N34" s="100"/>
      <c r="O34" s="100"/>
      <c r="P34" s="100"/>
      <c r="Q34" s="100"/>
      <c r="R34" s="92"/>
    </row>
    <row r="35" spans="1:18" x14ac:dyDescent="0.25">
      <c r="A35" s="92"/>
      <c r="B35" s="243" t="s">
        <v>178</v>
      </c>
      <c r="C35" s="111" t="s">
        <v>183</v>
      </c>
      <c r="D35" s="8"/>
      <c r="E35" s="8"/>
      <c r="F35" s="8"/>
      <c r="G35" s="10"/>
      <c r="H35" s="8"/>
      <c r="I35" s="10">
        <f>SUM(I37:I46)</f>
        <v>0</v>
      </c>
      <c r="J35" s="92"/>
      <c r="K35" s="112"/>
      <c r="L35" s="112"/>
      <c r="M35" s="112"/>
      <c r="N35" s="112"/>
      <c r="O35" s="112"/>
      <c r="P35" s="112"/>
      <c r="Q35" s="112"/>
      <c r="R35" s="92"/>
    </row>
    <row r="36" spans="1:18" ht="4.5" customHeight="1" x14ac:dyDescent="0.25">
      <c r="A36" s="92"/>
      <c r="B36" s="243"/>
      <c r="C36" s="140"/>
      <c r="D36" s="140"/>
      <c r="E36" s="141"/>
      <c r="F36" s="140"/>
      <c r="G36" s="142"/>
      <c r="H36" s="143">
        <f>Q36</f>
        <v>1</v>
      </c>
      <c r="I36" s="144">
        <f>G36*H36</f>
        <v>0</v>
      </c>
      <c r="J36" s="145"/>
      <c r="K36" s="139">
        <v>1</v>
      </c>
      <c r="L36" s="139">
        <v>1</v>
      </c>
      <c r="M36" s="139">
        <v>1</v>
      </c>
      <c r="N36" s="139">
        <v>1</v>
      </c>
      <c r="O36" s="139">
        <v>1</v>
      </c>
      <c r="P36" s="139">
        <v>1</v>
      </c>
      <c r="Q36" s="139">
        <f>K36*L36*M36*N36*O36*P36</f>
        <v>1</v>
      </c>
      <c r="R36" s="92"/>
    </row>
    <row r="37" spans="1:18" ht="15" customHeight="1" x14ac:dyDescent="0.25">
      <c r="A37" s="107"/>
      <c r="B37" s="243"/>
      <c r="C37" s="113" t="s">
        <v>35</v>
      </c>
      <c r="D37" s="113" t="s">
        <v>169</v>
      </c>
      <c r="E37" s="114" t="s">
        <v>154</v>
      </c>
      <c r="F37" s="115" t="s">
        <v>168</v>
      </c>
      <c r="G37" s="146">
        <v>0</v>
      </c>
      <c r="H37" s="116">
        <f>Q37</f>
        <v>1</v>
      </c>
      <c r="I37" s="117">
        <f>G37*H37</f>
        <v>0</v>
      </c>
      <c r="J37" s="107"/>
      <c r="K37" s="118">
        <v>1</v>
      </c>
      <c r="L37" s="118">
        <v>1</v>
      </c>
      <c r="M37" s="118">
        <v>1</v>
      </c>
      <c r="N37" s="118">
        <v>1</v>
      </c>
      <c r="O37" s="118">
        <v>1</v>
      </c>
      <c r="P37" s="118">
        <v>1</v>
      </c>
      <c r="Q37" s="99">
        <f>K37*L37*M37*N37*O37*P37</f>
        <v>1</v>
      </c>
      <c r="R37" s="107"/>
    </row>
    <row r="38" spans="1:18" ht="15" customHeight="1" x14ac:dyDescent="0.25">
      <c r="A38" s="107"/>
      <c r="B38" s="243"/>
      <c r="C38" s="113" t="s">
        <v>35</v>
      </c>
      <c r="D38" s="113" t="s">
        <v>169</v>
      </c>
      <c r="E38" s="114" t="s">
        <v>156</v>
      </c>
      <c r="F38" s="115" t="s">
        <v>168</v>
      </c>
      <c r="G38" s="146">
        <v>0</v>
      </c>
      <c r="H38" s="116">
        <f t="shared" ref="H38:H46" si="0">Q38</f>
        <v>1</v>
      </c>
      <c r="I38" s="117">
        <f t="shared" ref="I38:I46" si="1">G38*H38</f>
        <v>0</v>
      </c>
      <c r="J38" s="107"/>
      <c r="K38" s="118">
        <v>1</v>
      </c>
      <c r="L38" s="118">
        <v>1</v>
      </c>
      <c r="M38" s="118">
        <v>1</v>
      </c>
      <c r="N38" s="118">
        <v>1</v>
      </c>
      <c r="O38" s="118">
        <v>1</v>
      </c>
      <c r="P38" s="118">
        <v>1</v>
      </c>
      <c r="Q38" s="99">
        <f t="shared" ref="Q38:Q46" si="2">K38*L38*M38*N38*O38*P38</f>
        <v>1</v>
      </c>
      <c r="R38" s="107"/>
    </row>
    <row r="39" spans="1:18" ht="15" customHeight="1" x14ac:dyDescent="0.25">
      <c r="A39" s="107"/>
      <c r="B39" s="243"/>
      <c r="C39" s="113" t="s">
        <v>35</v>
      </c>
      <c r="D39" s="113" t="s">
        <v>169</v>
      </c>
      <c r="E39" s="114" t="s">
        <v>156</v>
      </c>
      <c r="F39" s="115" t="s">
        <v>168</v>
      </c>
      <c r="G39" s="146">
        <v>0</v>
      </c>
      <c r="H39" s="116">
        <f t="shared" ref="H39" si="3">Q39</f>
        <v>1</v>
      </c>
      <c r="I39" s="117">
        <f t="shared" ref="I39" si="4">G39*H39</f>
        <v>0</v>
      </c>
      <c r="J39" s="107"/>
      <c r="K39" s="118">
        <v>1</v>
      </c>
      <c r="L39" s="118">
        <v>1</v>
      </c>
      <c r="M39" s="118">
        <v>1</v>
      </c>
      <c r="N39" s="118">
        <v>1</v>
      </c>
      <c r="O39" s="118">
        <v>1</v>
      </c>
      <c r="P39" s="118">
        <v>1</v>
      </c>
      <c r="Q39" s="99">
        <f t="shared" ref="Q39" si="5">K39*L39*M39*N39*O39*P39</f>
        <v>1</v>
      </c>
      <c r="R39" s="107"/>
    </row>
    <row r="40" spans="1:18" ht="15" customHeight="1" x14ac:dyDescent="0.25">
      <c r="A40" s="107"/>
      <c r="B40" s="243"/>
      <c r="C40" s="113" t="s">
        <v>35</v>
      </c>
      <c r="D40" s="113" t="s">
        <v>169</v>
      </c>
      <c r="E40" s="114" t="s">
        <v>156</v>
      </c>
      <c r="F40" s="115" t="s">
        <v>168</v>
      </c>
      <c r="G40" s="146">
        <v>0</v>
      </c>
      <c r="H40" s="116">
        <f t="shared" ref="H40:H42" si="6">Q40</f>
        <v>1</v>
      </c>
      <c r="I40" s="117">
        <f t="shared" ref="I40:I42" si="7">G40*H40</f>
        <v>0</v>
      </c>
      <c r="J40" s="107"/>
      <c r="K40" s="118">
        <v>1</v>
      </c>
      <c r="L40" s="118">
        <v>1</v>
      </c>
      <c r="M40" s="118">
        <v>1</v>
      </c>
      <c r="N40" s="118">
        <v>1</v>
      </c>
      <c r="O40" s="118">
        <v>1</v>
      </c>
      <c r="P40" s="118">
        <v>1</v>
      </c>
      <c r="Q40" s="99">
        <f t="shared" ref="Q40:Q42" si="8">K40*L40*M40*N40*O40*P40</f>
        <v>1</v>
      </c>
      <c r="R40" s="107"/>
    </row>
    <row r="41" spans="1:18" ht="15" customHeight="1" x14ac:dyDescent="0.25">
      <c r="A41" s="107"/>
      <c r="B41" s="243"/>
      <c r="C41" s="113" t="s">
        <v>35</v>
      </c>
      <c r="D41" s="113" t="s">
        <v>169</v>
      </c>
      <c r="E41" s="114" t="s">
        <v>156</v>
      </c>
      <c r="F41" s="115" t="s">
        <v>168</v>
      </c>
      <c r="G41" s="146">
        <v>0</v>
      </c>
      <c r="H41" s="116">
        <f t="shared" si="6"/>
        <v>1</v>
      </c>
      <c r="I41" s="117">
        <f t="shared" si="7"/>
        <v>0</v>
      </c>
      <c r="J41" s="107"/>
      <c r="K41" s="118">
        <v>1</v>
      </c>
      <c r="L41" s="118">
        <v>1</v>
      </c>
      <c r="M41" s="118">
        <v>1</v>
      </c>
      <c r="N41" s="118">
        <v>1</v>
      </c>
      <c r="O41" s="118">
        <v>1</v>
      </c>
      <c r="P41" s="118">
        <v>1</v>
      </c>
      <c r="Q41" s="99">
        <f t="shared" si="8"/>
        <v>1</v>
      </c>
      <c r="R41" s="107"/>
    </row>
    <row r="42" spans="1:18" ht="15" customHeight="1" x14ac:dyDescent="0.25">
      <c r="A42" s="107"/>
      <c r="B42" s="243"/>
      <c r="C42" s="113" t="s">
        <v>35</v>
      </c>
      <c r="D42" s="113" t="s">
        <v>169</v>
      </c>
      <c r="E42" s="114" t="s">
        <v>156</v>
      </c>
      <c r="F42" s="115" t="s">
        <v>168</v>
      </c>
      <c r="G42" s="146">
        <v>0</v>
      </c>
      <c r="H42" s="116">
        <f t="shared" si="6"/>
        <v>1</v>
      </c>
      <c r="I42" s="117">
        <f t="shared" si="7"/>
        <v>0</v>
      </c>
      <c r="J42" s="107"/>
      <c r="K42" s="118">
        <v>1</v>
      </c>
      <c r="L42" s="118">
        <v>1</v>
      </c>
      <c r="M42" s="118">
        <v>1</v>
      </c>
      <c r="N42" s="118">
        <v>1</v>
      </c>
      <c r="O42" s="118">
        <v>1</v>
      </c>
      <c r="P42" s="118">
        <v>1</v>
      </c>
      <c r="Q42" s="99">
        <f t="shared" si="8"/>
        <v>1</v>
      </c>
      <c r="R42" s="107"/>
    </row>
    <row r="43" spans="1:18" ht="15" customHeight="1" x14ac:dyDescent="0.25">
      <c r="A43" s="107"/>
      <c r="B43" s="243"/>
      <c r="C43" s="113" t="s">
        <v>35</v>
      </c>
      <c r="D43" s="113" t="s">
        <v>169</v>
      </c>
      <c r="E43" s="114" t="s">
        <v>156</v>
      </c>
      <c r="F43" s="115" t="s">
        <v>168</v>
      </c>
      <c r="G43" s="146">
        <v>0</v>
      </c>
      <c r="H43" s="116">
        <f t="shared" ref="H43" si="9">Q43</f>
        <v>1</v>
      </c>
      <c r="I43" s="117">
        <f t="shared" ref="I43" si="10">G43*H43</f>
        <v>0</v>
      </c>
      <c r="J43" s="107"/>
      <c r="K43" s="118">
        <v>1</v>
      </c>
      <c r="L43" s="118">
        <v>1</v>
      </c>
      <c r="M43" s="118">
        <v>1</v>
      </c>
      <c r="N43" s="118">
        <v>1</v>
      </c>
      <c r="O43" s="118">
        <v>1</v>
      </c>
      <c r="P43" s="118">
        <v>1</v>
      </c>
      <c r="Q43" s="99">
        <f t="shared" ref="Q43" si="11">K43*L43*M43*N43*O43*P43</f>
        <v>1</v>
      </c>
      <c r="R43" s="107"/>
    </row>
    <row r="44" spans="1:18" ht="15" customHeight="1" x14ac:dyDescent="0.25">
      <c r="A44" s="107"/>
      <c r="B44" s="243"/>
      <c r="C44" s="113" t="s">
        <v>35</v>
      </c>
      <c r="D44" s="113" t="s">
        <v>169</v>
      </c>
      <c r="E44" s="114" t="s">
        <v>158</v>
      </c>
      <c r="F44" s="115" t="s">
        <v>168</v>
      </c>
      <c r="G44" s="146">
        <v>0</v>
      </c>
      <c r="H44" s="116">
        <f t="shared" si="0"/>
        <v>1</v>
      </c>
      <c r="I44" s="117">
        <f t="shared" si="1"/>
        <v>0</v>
      </c>
      <c r="J44" s="107"/>
      <c r="K44" s="118">
        <v>1</v>
      </c>
      <c r="L44" s="118">
        <v>1</v>
      </c>
      <c r="M44" s="118">
        <v>1</v>
      </c>
      <c r="N44" s="118">
        <v>1</v>
      </c>
      <c r="O44" s="118">
        <v>1</v>
      </c>
      <c r="P44" s="118">
        <v>1</v>
      </c>
      <c r="Q44" s="99">
        <f t="shared" si="2"/>
        <v>1</v>
      </c>
      <c r="R44" s="107"/>
    </row>
    <row r="45" spans="1:18" ht="15" customHeight="1" x14ac:dyDescent="0.25">
      <c r="A45" s="107"/>
      <c r="B45" s="243"/>
      <c r="C45" s="113" t="s">
        <v>35</v>
      </c>
      <c r="D45" s="113" t="s">
        <v>169</v>
      </c>
      <c r="E45" s="114" t="s">
        <v>157</v>
      </c>
      <c r="F45" s="115" t="s">
        <v>168</v>
      </c>
      <c r="G45" s="146">
        <v>0</v>
      </c>
      <c r="H45" s="116">
        <f t="shared" si="0"/>
        <v>1</v>
      </c>
      <c r="I45" s="117">
        <f t="shared" si="1"/>
        <v>0</v>
      </c>
      <c r="J45" s="107"/>
      <c r="K45" s="118">
        <v>1</v>
      </c>
      <c r="L45" s="118">
        <v>1</v>
      </c>
      <c r="M45" s="118">
        <v>1</v>
      </c>
      <c r="N45" s="118">
        <v>1</v>
      </c>
      <c r="O45" s="118">
        <v>1</v>
      </c>
      <c r="P45" s="118">
        <v>1</v>
      </c>
      <c r="Q45" s="99">
        <f t="shared" si="2"/>
        <v>1</v>
      </c>
      <c r="R45" s="107"/>
    </row>
    <row r="46" spans="1:18" ht="15" customHeight="1" x14ac:dyDescent="0.25">
      <c r="A46" s="107"/>
      <c r="B46" s="243"/>
      <c r="C46" s="113" t="s">
        <v>35</v>
      </c>
      <c r="D46" s="113" t="s">
        <v>169</v>
      </c>
      <c r="E46" s="114" t="s">
        <v>158</v>
      </c>
      <c r="F46" s="115" t="s">
        <v>168</v>
      </c>
      <c r="G46" s="146">
        <v>0</v>
      </c>
      <c r="H46" s="116">
        <f t="shared" si="0"/>
        <v>1</v>
      </c>
      <c r="I46" s="117">
        <f t="shared" si="1"/>
        <v>0</v>
      </c>
      <c r="J46" s="107"/>
      <c r="K46" s="118">
        <v>1</v>
      </c>
      <c r="L46" s="118">
        <v>1</v>
      </c>
      <c r="M46" s="118">
        <v>1</v>
      </c>
      <c r="N46" s="118">
        <v>1</v>
      </c>
      <c r="O46" s="118">
        <v>1</v>
      </c>
      <c r="P46" s="118">
        <v>1</v>
      </c>
      <c r="Q46" s="99">
        <f t="shared" si="2"/>
        <v>1</v>
      </c>
      <c r="R46" s="107"/>
    </row>
    <row r="47" spans="1:18" ht="5.0999999999999996" customHeight="1" thickBot="1" x14ac:dyDescent="0.3">
      <c r="A47" s="92"/>
      <c r="B47" s="6"/>
      <c r="G47" s="110"/>
      <c r="I47" s="110"/>
      <c r="J47" s="92"/>
      <c r="K47" s="100"/>
      <c r="L47" s="100"/>
      <c r="M47" s="100"/>
      <c r="N47" s="100"/>
      <c r="O47" s="100"/>
      <c r="P47" s="100"/>
      <c r="Q47" s="100"/>
      <c r="R47" s="92"/>
    </row>
    <row r="48" spans="1:18" ht="15.75" thickBot="1" x14ac:dyDescent="0.3">
      <c r="A48" s="92"/>
      <c r="B48" s="243" t="s">
        <v>179</v>
      </c>
      <c r="C48" s="111" t="s">
        <v>182</v>
      </c>
      <c r="D48" s="8"/>
      <c r="E48" s="8"/>
      <c r="F48" s="8"/>
      <c r="G48" s="10"/>
      <c r="H48" s="8"/>
      <c r="I48" s="10">
        <f>SUM(I50:I59)</f>
        <v>0</v>
      </c>
      <c r="J48" s="119"/>
      <c r="K48" s="112"/>
      <c r="L48" s="112"/>
      <c r="M48" s="112"/>
      <c r="N48" s="112"/>
      <c r="O48" s="112"/>
      <c r="P48" s="112"/>
      <c r="Q48" s="112"/>
      <c r="R48" s="92"/>
    </row>
    <row r="49" spans="1:18" ht="5.0999999999999996" customHeight="1" x14ac:dyDescent="0.25">
      <c r="A49" s="92"/>
      <c r="B49" s="243"/>
      <c r="G49" s="110"/>
      <c r="I49" s="110"/>
      <c r="J49" s="92"/>
      <c r="K49" s="100"/>
      <c r="L49" s="100"/>
      <c r="M49" s="100"/>
      <c r="N49" s="100"/>
      <c r="O49" s="100"/>
      <c r="P49" s="100"/>
      <c r="Q49" s="100"/>
      <c r="R49" s="92"/>
    </row>
    <row r="50" spans="1:18" ht="15" customHeight="1" x14ac:dyDescent="0.25">
      <c r="A50" s="107"/>
      <c r="B50" s="243"/>
      <c r="C50" s="114"/>
      <c r="D50" s="121"/>
      <c r="E50" s="121"/>
      <c r="F50" s="121"/>
      <c r="G50" s="122"/>
      <c r="H50" s="116">
        <f>Q50</f>
        <v>1</v>
      </c>
      <c r="I50" s="117">
        <f>G50*H50</f>
        <v>0</v>
      </c>
      <c r="J50" s="107"/>
      <c r="K50" s="118">
        <v>1</v>
      </c>
      <c r="L50" s="118">
        <v>1</v>
      </c>
      <c r="M50" s="118">
        <v>1</v>
      </c>
      <c r="N50" s="118">
        <v>1</v>
      </c>
      <c r="O50" s="118">
        <v>1</v>
      </c>
      <c r="P50" s="118">
        <v>1</v>
      </c>
      <c r="Q50" s="99">
        <f>K50*L50*M50*N50*O50*P50</f>
        <v>1</v>
      </c>
      <c r="R50" s="107"/>
    </row>
    <row r="51" spans="1:18" ht="15" customHeight="1" x14ac:dyDescent="0.25">
      <c r="A51" s="107"/>
      <c r="B51" s="243"/>
      <c r="C51" s="114"/>
      <c r="D51" s="121"/>
      <c r="E51" s="121"/>
      <c r="F51" s="121"/>
      <c r="G51" s="122"/>
      <c r="H51" s="116">
        <f>Q51</f>
        <v>1</v>
      </c>
      <c r="I51" s="117">
        <f>G51*H51</f>
        <v>0</v>
      </c>
      <c r="J51" s="107"/>
      <c r="K51" s="118">
        <v>1</v>
      </c>
      <c r="L51" s="118">
        <v>1</v>
      </c>
      <c r="M51" s="118">
        <v>1</v>
      </c>
      <c r="N51" s="118">
        <v>1</v>
      </c>
      <c r="O51" s="118">
        <v>1</v>
      </c>
      <c r="P51" s="118">
        <v>1</v>
      </c>
      <c r="Q51" s="99">
        <f>K51*L51*M51*N51*O51*P51</f>
        <v>1</v>
      </c>
      <c r="R51" s="107"/>
    </row>
    <row r="52" spans="1:18" ht="15" customHeight="1" x14ac:dyDescent="0.25">
      <c r="A52" s="107"/>
      <c r="B52" s="243"/>
      <c r="C52" s="114"/>
      <c r="D52" s="121"/>
      <c r="E52" s="121"/>
      <c r="F52" s="121"/>
      <c r="G52" s="122"/>
      <c r="H52" s="116">
        <f t="shared" ref="H52" si="12">Q52</f>
        <v>1</v>
      </c>
      <c r="I52" s="117">
        <f t="shared" ref="I52" si="13">G52*H52</f>
        <v>0</v>
      </c>
      <c r="J52" s="107"/>
      <c r="K52" s="118">
        <v>1</v>
      </c>
      <c r="L52" s="118">
        <v>1</v>
      </c>
      <c r="M52" s="118">
        <v>1</v>
      </c>
      <c r="N52" s="118">
        <v>1</v>
      </c>
      <c r="O52" s="118">
        <v>1</v>
      </c>
      <c r="P52" s="118">
        <v>1</v>
      </c>
      <c r="Q52" s="99">
        <f t="shared" ref="Q52" si="14">K52*L52*M52*N52*O52*P52</f>
        <v>1</v>
      </c>
      <c r="R52" s="107"/>
    </row>
    <row r="53" spans="1:18" ht="15" customHeight="1" x14ac:dyDescent="0.25">
      <c r="A53" s="107"/>
      <c r="B53" s="243"/>
      <c r="C53" s="114"/>
      <c r="D53" s="121"/>
      <c r="E53" s="121"/>
      <c r="F53" s="121"/>
      <c r="G53" s="122"/>
      <c r="H53" s="116">
        <f>Q53</f>
        <v>1</v>
      </c>
      <c r="I53" s="117">
        <f>G53*H53</f>
        <v>0</v>
      </c>
      <c r="J53" s="107"/>
      <c r="K53" s="118">
        <v>1</v>
      </c>
      <c r="L53" s="118">
        <v>1</v>
      </c>
      <c r="M53" s="118">
        <v>1</v>
      </c>
      <c r="N53" s="118">
        <v>1</v>
      </c>
      <c r="O53" s="118">
        <v>1</v>
      </c>
      <c r="P53" s="118">
        <v>1</v>
      </c>
      <c r="Q53" s="99">
        <f>K53*L53*M53*N53*O53*P53</f>
        <v>1</v>
      </c>
      <c r="R53" s="107"/>
    </row>
    <row r="54" spans="1:18" ht="15" customHeight="1" x14ac:dyDescent="0.25">
      <c r="A54" s="107"/>
      <c r="B54" s="243"/>
      <c r="C54" s="114"/>
      <c r="D54" s="121"/>
      <c r="E54" s="121"/>
      <c r="F54" s="121"/>
      <c r="G54" s="122"/>
      <c r="H54" s="116">
        <f>Q54</f>
        <v>1</v>
      </c>
      <c r="I54" s="117">
        <f>G54*H54</f>
        <v>0</v>
      </c>
      <c r="J54" s="107"/>
      <c r="K54" s="118">
        <v>1</v>
      </c>
      <c r="L54" s="118">
        <v>1</v>
      </c>
      <c r="M54" s="118">
        <v>1</v>
      </c>
      <c r="N54" s="118">
        <v>1</v>
      </c>
      <c r="O54" s="118">
        <v>1</v>
      </c>
      <c r="P54" s="118">
        <v>1</v>
      </c>
      <c r="Q54" s="99">
        <f>K54*L54*M54*N54*O54*P54</f>
        <v>1</v>
      </c>
      <c r="R54" s="107"/>
    </row>
    <row r="55" spans="1:18" ht="15" customHeight="1" x14ac:dyDescent="0.25">
      <c r="A55" s="107"/>
      <c r="B55" s="243"/>
      <c r="C55" s="114"/>
      <c r="D55" s="121"/>
      <c r="E55" s="121"/>
      <c r="F55" s="121"/>
      <c r="G55" s="122"/>
      <c r="H55" s="116">
        <f t="shared" ref="H55:H59" si="15">Q55</f>
        <v>1</v>
      </c>
      <c r="I55" s="117">
        <f t="shared" ref="I55:I59" si="16">G55*H55</f>
        <v>0</v>
      </c>
      <c r="J55" s="107"/>
      <c r="K55" s="118">
        <v>1</v>
      </c>
      <c r="L55" s="118">
        <v>1</v>
      </c>
      <c r="M55" s="118">
        <v>1</v>
      </c>
      <c r="N55" s="118">
        <v>1</v>
      </c>
      <c r="O55" s="118">
        <v>1</v>
      </c>
      <c r="P55" s="118">
        <v>1</v>
      </c>
      <c r="Q55" s="99">
        <f t="shared" ref="Q55:Q59" si="17">K55*L55*M55*N55*O55*P55</f>
        <v>1</v>
      </c>
      <c r="R55" s="107"/>
    </row>
    <row r="56" spans="1:18" ht="15" customHeight="1" x14ac:dyDescent="0.25">
      <c r="A56" s="107"/>
      <c r="B56" s="243"/>
      <c r="C56" s="114"/>
      <c r="D56" s="121"/>
      <c r="E56" s="121"/>
      <c r="F56" s="121"/>
      <c r="G56" s="122"/>
      <c r="H56" s="116">
        <f t="shared" si="15"/>
        <v>1</v>
      </c>
      <c r="I56" s="117">
        <f t="shared" si="16"/>
        <v>0</v>
      </c>
      <c r="J56" s="107"/>
      <c r="K56" s="118">
        <v>1</v>
      </c>
      <c r="L56" s="118">
        <v>1</v>
      </c>
      <c r="M56" s="118">
        <v>1</v>
      </c>
      <c r="N56" s="118">
        <v>1</v>
      </c>
      <c r="O56" s="118">
        <v>1</v>
      </c>
      <c r="P56" s="118">
        <v>1</v>
      </c>
      <c r="Q56" s="99">
        <f t="shared" si="17"/>
        <v>1</v>
      </c>
      <c r="R56" s="107"/>
    </row>
    <row r="57" spans="1:18" ht="15" customHeight="1" x14ac:dyDescent="0.25">
      <c r="A57" s="107"/>
      <c r="B57" s="243"/>
      <c r="C57" s="114"/>
      <c r="D57" s="121"/>
      <c r="E57" s="121"/>
      <c r="F57" s="121"/>
      <c r="G57" s="122"/>
      <c r="H57" s="116">
        <f t="shared" ref="H57" si="18">Q57</f>
        <v>1</v>
      </c>
      <c r="I57" s="117">
        <f t="shared" ref="I57" si="19">G57*H57</f>
        <v>0</v>
      </c>
      <c r="J57" s="107"/>
      <c r="K57" s="118">
        <v>1</v>
      </c>
      <c r="L57" s="118">
        <v>1</v>
      </c>
      <c r="M57" s="118">
        <v>1</v>
      </c>
      <c r="N57" s="118">
        <v>1</v>
      </c>
      <c r="O57" s="118">
        <v>1</v>
      </c>
      <c r="P57" s="118">
        <v>1</v>
      </c>
      <c r="Q57" s="99">
        <f t="shared" ref="Q57" si="20">K57*L57*M57*N57*O57*P57</f>
        <v>1</v>
      </c>
      <c r="R57" s="107"/>
    </row>
    <row r="58" spans="1:18" ht="15" customHeight="1" x14ac:dyDescent="0.25">
      <c r="A58" s="107"/>
      <c r="B58" s="243"/>
      <c r="C58" s="114"/>
      <c r="D58" s="121"/>
      <c r="E58" s="121"/>
      <c r="F58" s="121"/>
      <c r="G58" s="122"/>
      <c r="H58" s="116">
        <f t="shared" si="15"/>
        <v>1</v>
      </c>
      <c r="I58" s="117">
        <f t="shared" si="16"/>
        <v>0</v>
      </c>
      <c r="J58" s="107"/>
      <c r="K58" s="118">
        <v>1</v>
      </c>
      <c r="L58" s="118">
        <v>1</v>
      </c>
      <c r="M58" s="118">
        <v>1</v>
      </c>
      <c r="N58" s="118">
        <v>1</v>
      </c>
      <c r="O58" s="118">
        <v>1</v>
      </c>
      <c r="P58" s="118">
        <v>1</v>
      </c>
      <c r="Q58" s="99">
        <f t="shared" si="17"/>
        <v>1</v>
      </c>
      <c r="R58" s="107"/>
    </row>
    <row r="59" spans="1:18" ht="15" customHeight="1" x14ac:dyDescent="0.25">
      <c r="A59" s="107"/>
      <c r="B59" s="243"/>
      <c r="C59" s="114"/>
      <c r="D59" s="121"/>
      <c r="E59" s="121"/>
      <c r="F59" s="121"/>
      <c r="G59" s="122"/>
      <c r="H59" s="116">
        <f t="shared" si="15"/>
        <v>1</v>
      </c>
      <c r="I59" s="117">
        <f t="shared" si="16"/>
        <v>0</v>
      </c>
      <c r="J59" s="107"/>
      <c r="K59" s="118">
        <v>1</v>
      </c>
      <c r="L59" s="118">
        <v>1</v>
      </c>
      <c r="M59" s="118">
        <v>1</v>
      </c>
      <c r="N59" s="118">
        <v>1</v>
      </c>
      <c r="O59" s="118">
        <v>1</v>
      </c>
      <c r="P59" s="118">
        <v>1</v>
      </c>
      <c r="Q59" s="99">
        <f t="shared" si="17"/>
        <v>1</v>
      </c>
      <c r="R59" s="107"/>
    </row>
    <row r="60" spans="1:18" ht="5.0999999999999996" customHeight="1" x14ac:dyDescent="0.25">
      <c r="A60" s="107"/>
      <c r="B60" s="6"/>
      <c r="C60" s="123"/>
      <c r="D60" s="108"/>
      <c r="E60" s="108"/>
      <c r="F60" s="108"/>
      <c r="G60" s="117"/>
      <c r="H60" s="116"/>
      <c r="I60" s="117"/>
      <c r="J60" s="107"/>
      <c r="K60" s="124"/>
      <c r="L60" s="124"/>
      <c r="M60" s="124"/>
      <c r="N60" s="124"/>
      <c r="O60" s="124"/>
      <c r="P60" s="124"/>
      <c r="Q60" s="99"/>
      <c r="R60" s="107"/>
    </row>
    <row r="61" spans="1:18" ht="15" customHeight="1" x14ac:dyDescent="0.25">
      <c r="A61" s="107"/>
      <c r="B61" s="244" t="s">
        <v>20</v>
      </c>
      <c r="C61" s="14" t="s">
        <v>26</v>
      </c>
      <c r="D61" s="7"/>
      <c r="E61" s="7"/>
      <c r="F61" s="7"/>
      <c r="G61" s="9"/>
      <c r="H61" s="7"/>
      <c r="I61" s="9">
        <f>SUM(I63:I72)</f>
        <v>0</v>
      </c>
      <c r="J61" s="107"/>
      <c r="K61" s="149"/>
      <c r="L61" s="149"/>
      <c r="M61" s="149"/>
      <c r="N61" s="149"/>
      <c r="O61" s="149"/>
      <c r="P61" s="149"/>
      <c r="Q61" s="150"/>
      <c r="R61" s="107"/>
    </row>
    <row r="62" spans="1:18" ht="5.0999999999999996" customHeight="1" x14ac:dyDescent="0.25">
      <c r="A62" s="107"/>
      <c r="B62" s="244"/>
      <c r="C62" s="86"/>
      <c r="G62" s="87"/>
      <c r="I62" s="87"/>
      <c r="J62" s="107"/>
      <c r="K62" s="124"/>
      <c r="L62" s="124"/>
      <c r="M62" s="124"/>
      <c r="N62" s="124"/>
      <c r="O62" s="124"/>
      <c r="P62" s="124"/>
      <c r="Q62" s="99"/>
      <c r="R62" s="107"/>
    </row>
    <row r="63" spans="1:18" ht="15" customHeight="1" x14ac:dyDescent="0.25">
      <c r="A63" s="107"/>
      <c r="B63" s="244"/>
      <c r="C63" s="114"/>
      <c r="D63" s="121"/>
      <c r="E63" s="121"/>
      <c r="F63" s="121"/>
      <c r="G63" s="122"/>
      <c r="H63" s="116">
        <f t="shared" ref="H63" si="21">Q63</f>
        <v>1</v>
      </c>
      <c r="I63" s="117">
        <f t="shared" ref="I63" si="22">G63*H63</f>
        <v>0</v>
      </c>
      <c r="J63" s="107"/>
      <c r="K63" s="118">
        <v>1</v>
      </c>
      <c r="L63" s="118">
        <v>1</v>
      </c>
      <c r="M63" s="118">
        <v>1</v>
      </c>
      <c r="N63" s="118">
        <v>1</v>
      </c>
      <c r="O63" s="118">
        <v>1</v>
      </c>
      <c r="P63" s="118">
        <v>1</v>
      </c>
      <c r="Q63" s="99">
        <f t="shared" ref="Q63" si="23">K63*L63*M63*N63*O63*P63</f>
        <v>1</v>
      </c>
      <c r="R63" s="107"/>
    </row>
    <row r="64" spans="1:18" ht="15" customHeight="1" x14ac:dyDescent="0.25">
      <c r="A64" s="107"/>
      <c r="B64" s="244"/>
      <c r="C64" s="114"/>
      <c r="D64" s="121"/>
      <c r="E64" s="121"/>
      <c r="F64" s="121"/>
      <c r="G64" s="122"/>
      <c r="H64" s="116">
        <f t="shared" ref="H64:H72" si="24">Q64</f>
        <v>1</v>
      </c>
      <c r="I64" s="117">
        <f t="shared" ref="I64:I72" si="25">G64*H64</f>
        <v>0</v>
      </c>
      <c r="J64" s="107"/>
      <c r="K64" s="118">
        <v>1</v>
      </c>
      <c r="L64" s="118">
        <v>1</v>
      </c>
      <c r="M64" s="118">
        <v>1</v>
      </c>
      <c r="N64" s="118">
        <v>1</v>
      </c>
      <c r="O64" s="118">
        <v>1</v>
      </c>
      <c r="P64" s="118">
        <v>1</v>
      </c>
      <c r="Q64" s="99">
        <f t="shared" ref="Q64:Q72" si="26">K64*L64*M64*N64*O64*P64</f>
        <v>1</v>
      </c>
      <c r="R64" s="107"/>
    </row>
    <row r="65" spans="1:18" ht="15" customHeight="1" x14ac:dyDescent="0.25">
      <c r="A65" s="107"/>
      <c r="B65" s="244"/>
      <c r="C65" s="114"/>
      <c r="D65" s="121"/>
      <c r="E65" s="121"/>
      <c r="F65" s="121"/>
      <c r="G65" s="122"/>
      <c r="H65" s="116">
        <f t="shared" si="24"/>
        <v>1</v>
      </c>
      <c r="I65" s="117">
        <f t="shared" si="25"/>
        <v>0</v>
      </c>
      <c r="J65" s="107"/>
      <c r="K65" s="118">
        <v>1</v>
      </c>
      <c r="L65" s="118">
        <v>1</v>
      </c>
      <c r="M65" s="118">
        <v>1</v>
      </c>
      <c r="N65" s="118">
        <v>1</v>
      </c>
      <c r="O65" s="118">
        <v>1</v>
      </c>
      <c r="P65" s="118">
        <v>1</v>
      </c>
      <c r="Q65" s="99">
        <f t="shared" si="26"/>
        <v>1</v>
      </c>
      <c r="R65" s="107"/>
    </row>
    <row r="66" spans="1:18" ht="15" customHeight="1" x14ac:dyDescent="0.25">
      <c r="A66" s="107"/>
      <c r="B66" s="244"/>
      <c r="C66" s="114"/>
      <c r="D66" s="121"/>
      <c r="E66" s="121"/>
      <c r="F66" s="121"/>
      <c r="G66" s="122"/>
      <c r="H66" s="116">
        <f t="shared" si="24"/>
        <v>1</v>
      </c>
      <c r="I66" s="117">
        <f t="shared" si="25"/>
        <v>0</v>
      </c>
      <c r="J66" s="107"/>
      <c r="K66" s="118">
        <v>1</v>
      </c>
      <c r="L66" s="118">
        <v>1</v>
      </c>
      <c r="M66" s="118">
        <v>1</v>
      </c>
      <c r="N66" s="118">
        <v>1</v>
      </c>
      <c r="O66" s="118">
        <v>1</v>
      </c>
      <c r="P66" s="118">
        <v>1</v>
      </c>
      <c r="Q66" s="99">
        <f t="shared" si="26"/>
        <v>1</v>
      </c>
      <c r="R66" s="107"/>
    </row>
    <row r="67" spans="1:18" ht="15" customHeight="1" x14ac:dyDescent="0.25">
      <c r="A67" s="107"/>
      <c r="B67" s="244"/>
      <c r="C67" s="114"/>
      <c r="D67" s="121"/>
      <c r="E67" s="121"/>
      <c r="F67" s="121"/>
      <c r="G67" s="122"/>
      <c r="H67" s="116">
        <f t="shared" si="24"/>
        <v>1</v>
      </c>
      <c r="I67" s="117">
        <f t="shared" si="25"/>
        <v>0</v>
      </c>
      <c r="J67" s="107"/>
      <c r="K67" s="118">
        <v>1</v>
      </c>
      <c r="L67" s="118">
        <v>1</v>
      </c>
      <c r="M67" s="118">
        <v>1</v>
      </c>
      <c r="N67" s="118">
        <v>1</v>
      </c>
      <c r="O67" s="118">
        <v>1</v>
      </c>
      <c r="P67" s="118">
        <v>1</v>
      </c>
      <c r="Q67" s="99">
        <f t="shared" si="26"/>
        <v>1</v>
      </c>
      <c r="R67" s="107"/>
    </row>
    <row r="68" spans="1:18" ht="15" customHeight="1" x14ac:dyDescent="0.25">
      <c r="A68" s="92"/>
      <c r="B68" s="244"/>
      <c r="C68" s="114"/>
      <c r="D68" s="125"/>
      <c r="E68" s="125"/>
      <c r="F68" s="125"/>
      <c r="G68" s="126"/>
      <c r="H68" s="116">
        <f t="shared" si="24"/>
        <v>1</v>
      </c>
      <c r="I68" s="117">
        <f t="shared" si="25"/>
        <v>0</v>
      </c>
      <c r="J68" s="92"/>
      <c r="K68" s="118">
        <v>1</v>
      </c>
      <c r="L68" s="118">
        <v>1</v>
      </c>
      <c r="M68" s="118">
        <v>1</v>
      </c>
      <c r="N68" s="118">
        <v>1</v>
      </c>
      <c r="O68" s="118">
        <v>1</v>
      </c>
      <c r="P68" s="118">
        <v>1</v>
      </c>
      <c r="Q68" s="99">
        <f t="shared" si="26"/>
        <v>1</v>
      </c>
      <c r="R68" s="92"/>
    </row>
    <row r="69" spans="1:18" ht="15" customHeight="1" x14ac:dyDescent="0.25">
      <c r="A69" s="92"/>
      <c r="B69" s="244"/>
      <c r="C69" s="114"/>
      <c r="D69" s="125"/>
      <c r="E69" s="125"/>
      <c r="F69" s="125"/>
      <c r="G69" s="126"/>
      <c r="H69" s="116">
        <f t="shared" si="24"/>
        <v>1</v>
      </c>
      <c r="I69" s="117">
        <f t="shared" si="25"/>
        <v>0</v>
      </c>
      <c r="J69" s="92"/>
      <c r="K69" s="118">
        <v>1</v>
      </c>
      <c r="L69" s="118">
        <v>1</v>
      </c>
      <c r="M69" s="118">
        <v>1</v>
      </c>
      <c r="N69" s="118">
        <v>1</v>
      </c>
      <c r="O69" s="118">
        <v>1</v>
      </c>
      <c r="P69" s="118">
        <v>1</v>
      </c>
      <c r="Q69" s="99">
        <f t="shared" si="26"/>
        <v>1</v>
      </c>
      <c r="R69" s="92"/>
    </row>
    <row r="70" spans="1:18" ht="15" customHeight="1" x14ac:dyDescent="0.25">
      <c r="A70" s="92"/>
      <c r="B70" s="244"/>
      <c r="C70" s="114"/>
      <c r="D70" s="125"/>
      <c r="E70" s="125"/>
      <c r="F70" s="125"/>
      <c r="G70" s="126"/>
      <c r="H70" s="116">
        <f t="shared" si="24"/>
        <v>1</v>
      </c>
      <c r="I70" s="117">
        <f t="shared" si="25"/>
        <v>0</v>
      </c>
      <c r="J70" s="92"/>
      <c r="K70" s="118">
        <v>1</v>
      </c>
      <c r="L70" s="118">
        <v>1</v>
      </c>
      <c r="M70" s="118">
        <v>1</v>
      </c>
      <c r="N70" s="118">
        <v>1</v>
      </c>
      <c r="O70" s="118">
        <v>1</v>
      </c>
      <c r="P70" s="118">
        <v>1</v>
      </c>
      <c r="Q70" s="99">
        <f t="shared" si="26"/>
        <v>1</v>
      </c>
      <c r="R70" s="92"/>
    </row>
    <row r="71" spans="1:18" ht="15" customHeight="1" x14ac:dyDescent="0.25">
      <c r="A71" s="92"/>
      <c r="B71" s="244"/>
      <c r="C71" s="114"/>
      <c r="D71" s="125"/>
      <c r="E71" s="125"/>
      <c r="F71" s="125"/>
      <c r="G71" s="126"/>
      <c r="H71" s="116">
        <f t="shared" si="24"/>
        <v>1</v>
      </c>
      <c r="I71" s="117">
        <f t="shared" si="25"/>
        <v>0</v>
      </c>
      <c r="J71" s="92"/>
      <c r="K71" s="118">
        <v>1</v>
      </c>
      <c r="L71" s="118">
        <v>1</v>
      </c>
      <c r="M71" s="118">
        <v>1</v>
      </c>
      <c r="N71" s="118">
        <v>1</v>
      </c>
      <c r="O71" s="118">
        <v>1</v>
      </c>
      <c r="P71" s="118">
        <v>1</v>
      </c>
      <c r="Q71" s="99">
        <f t="shared" si="26"/>
        <v>1</v>
      </c>
      <c r="R71" s="92"/>
    </row>
    <row r="72" spans="1:18" ht="15" customHeight="1" x14ac:dyDescent="0.25">
      <c r="A72" s="92"/>
      <c r="B72" s="244"/>
      <c r="C72" s="114"/>
      <c r="D72" s="125"/>
      <c r="E72" s="125"/>
      <c r="F72" s="125"/>
      <c r="G72" s="126"/>
      <c r="H72" s="116">
        <f t="shared" si="24"/>
        <v>1</v>
      </c>
      <c r="I72" s="117">
        <f t="shared" si="25"/>
        <v>0</v>
      </c>
      <c r="J72" s="92"/>
      <c r="K72" s="118">
        <v>1</v>
      </c>
      <c r="L72" s="118">
        <v>1</v>
      </c>
      <c r="M72" s="118">
        <v>1</v>
      </c>
      <c r="N72" s="118">
        <v>1</v>
      </c>
      <c r="O72" s="118">
        <v>1</v>
      </c>
      <c r="P72" s="118">
        <v>1</v>
      </c>
      <c r="Q72" s="99">
        <f t="shared" si="26"/>
        <v>1</v>
      </c>
      <c r="R72" s="92"/>
    </row>
    <row r="73" spans="1:18" ht="5.0999999999999996" customHeight="1" x14ac:dyDescent="0.25">
      <c r="A73" s="92"/>
      <c r="C73" s="123" t="s">
        <v>12</v>
      </c>
      <c r="G73" s="110"/>
      <c r="I73" s="110"/>
      <c r="J73" s="92"/>
      <c r="K73" s="100"/>
      <c r="L73" s="100"/>
      <c r="M73" s="100"/>
      <c r="N73" s="100"/>
      <c r="O73" s="100"/>
      <c r="P73" s="100"/>
      <c r="Q73" s="100"/>
      <c r="R73" s="92"/>
    </row>
    <row r="74" spans="1:18" x14ac:dyDescent="0.25">
      <c r="A74" s="92"/>
      <c r="B74" s="13" t="s">
        <v>62</v>
      </c>
      <c r="C74" s="14" t="s">
        <v>61</v>
      </c>
      <c r="D74" s="7"/>
      <c r="E74" s="7"/>
      <c r="F74" s="7"/>
      <c r="G74" s="7"/>
      <c r="H74" s="7"/>
      <c r="I74" s="9"/>
      <c r="J74" s="92"/>
      <c r="K74" s="120"/>
      <c r="L74" s="120"/>
      <c r="M74" s="120"/>
      <c r="N74" s="120"/>
      <c r="O74" s="120"/>
      <c r="P74" s="120"/>
      <c r="Q74" s="120"/>
      <c r="R74" s="92"/>
    </row>
    <row r="75" spans="1:18" ht="5.0999999999999996" customHeight="1" x14ac:dyDescent="0.25">
      <c r="A75" s="92"/>
      <c r="G75" s="110"/>
      <c r="I75" s="110"/>
      <c r="J75" s="92"/>
      <c r="K75" s="100"/>
      <c r="L75" s="100"/>
      <c r="M75" s="100"/>
      <c r="N75" s="100"/>
      <c r="O75" s="100"/>
      <c r="P75" s="100"/>
      <c r="Q75" s="100"/>
      <c r="R75" s="92"/>
    </row>
    <row r="76" spans="1:18" ht="12.95" customHeight="1" x14ac:dyDescent="0.25">
      <c r="A76" s="92"/>
      <c r="B76" s="243" t="s">
        <v>63</v>
      </c>
      <c r="C76" s="111" t="s">
        <v>64</v>
      </c>
      <c r="D76" s="8"/>
      <c r="E76" s="8"/>
      <c r="F76" s="8"/>
      <c r="G76" s="10"/>
      <c r="H76" s="8"/>
      <c r="I76" s="10">
        <f>SUM(I78:I87)</f>
        <v>0</v>
      </c>
      <c r="J76" s="92"/>
      <c r="K76" s="112"/>
      <c r="L76" s="112"/>
      <c r="M76" s="112"/>
      <c r="N76" s="112"/>
      <c r="O76" s="112"/>
      <c r="P76" s="112"/>
      <c r="Q76" s="112"/>
      <c r="R76" s="92"/>
    </row>
    <row r="77" spans="1:18" ht="5.0999999999999996" customHeight="1" x14ac:dyDescent="0.25">
      <c r="A77" s="92"/>
      <c r="B77" s="243"/>
      <c r="G77" s="110"/>
      <c r="I77" s="110"/>
      <c r="J77" s="92"/>
      <c r="K77" s="100"/>
      <c r="L77" s="100"/>
      <c r="M77" s="100"/>
      <c r="N77" s="100"/>
      <c r="O77" s="100"/>
      <c r="P77" s="100"/>
      <c r="Q77" s="100"/>
      <c r="R77" s="92"/>
    </row>
    <row r="78" spans="1:18" ht="12.95" customHeight="1" x14ac:dyDescent="0.25">
      <c r="A78" s="92"/>
      <c r="B78" s="243"/>
      <c r="C78" s="114"/>
      <c r="D78" s="125"/>
      <c r="E78" s="125"/>
      <c r="F78" s="125"/>
      <c r="G78" s="126"/>
      <c r="H78" s="116">
        <f>Q78</f>
        <v>1</v>
      </c>
      <c r="I78" s="110">
        <f>G78*H78</f>
        <v>0</v>
      </c>
      <c r="J78" s="92"/>
      <c r="K78" s="118">
        <v>1</v>
      </c>
      <c r="L78" s="118">
        <v>1</v>
      </c>
      <c r="M78" s="118">
        <v>1</v>
      </c>
      <c r="N78" s="118">
        <v>1</v>
      </c>
      <c r="O78" s="118">
        <v>1</v>
      </c>
      <c r="P78" s="118">
        <v>1</v>
      </c>
      <c r="Q78" s="99">
        <f>K78*L78*M78*N78*O78*P78</f>
        <v>1</v>
      </c>
      <c r="R78" s="92"/>
    </row>
    <row r="79" spans="1:18" ht="12.95" customHeight="1" x14ac:dyDescent="0.25">
      <c r="A79" s="92"/>
      <c r="B79" s="243"/>
      <c r="C79" s="114"/>
      <c r="D79" s="125"/>
      <c r="E79" s="125"/>
      <c r="F79" s="125"/>
      <c r="G79" s="126"/>
      <c r="H79" s="116">
        <f>Q79</f>
        <v>1</v>
      </c>
      <c r="I79" s="110">
        <f>G79*H79</f>
        <v>0</v>
      </c>
      <c r="J79" s="92"/>
      <c r="K79" s="118">
        <v>1</v>
      </c>
      <c r="L79" s="118">
        <v>1</v>
      </c>
      <c r="M79" s="118">
        <v>1</v>
      </c>
      <c r="N79" s="118">
        <v>1</v>
      </c>
      <c r="O79" s="118">
        <v>1</v>
      </c>
      <c r="P79" s="118">
        <v>1</v>
      </c>
      <c r="Q79" s="99">
        <f>K79*L79*M79*N79*O79*P79</f>
        <v>1</v>
      </c>
      <c r="R79" s="92"/>
    </row>
    <row r="80" spans="1:18" ht="12.95" customHeight="1" x14ac:dyDescent="0.25">
      <c r="A80" s="92"/>
      <c r="B80" s="243"/>
      <c r="C80" s="114"/>
      <c r="D80" s="125"/>
      <c r="E80" s="125"/>
      <c r="F80" s="125"/>
      <c r="G80" s="126"/>
      <c r="H80" s="116">
        <f t="shared" ref="H80:H87" si="27">Q80</f>
        <v>1</v>
      </c>
      <c r="I80" s="110">
        <f>G80*H80</f>
        <v>0</v>
      </c>
      <c r="J80" s="92"/>
      <c r="K80" s="118">
        <v>1</v>
      </c>
      <c r="L80" s="118">
        <v>1</v>
      </c>
      <c r="M80" s="118">
        <v>1</v>
      </c>
      <c r="N80" s="118">
        <v>1</v>
      </c>
      <c r="O80" s="118">
        <v>1</v>
      </c>
      <c r="P80" s="118">
        <v>1</v>
      </c>
      <c r="Q80" s="99">
        <f t="shared" ref="Q80:Q87" si="28">K80*L80*M80*N80*O80*P80</f>
        <v>1</v>
      </c>
      <c r="R80" s="92"/>
    </row>
    <row r="81" spans="1:18" ht="12.95" customHeight="1" x14ac:dyDescent="0.25">
      <c r="A81" s="92"/>
      <c r="B81" s="243"/>
      <c r="C81" s="114"/>
      <c r="D81" s="125"/>
      <c r="E81" s="125"/>
      <c r="F81" s="125"/>
      <c r="G81" s="126"/>
      <c r="H81" s="116">
        <f t="shared" si="27"/>
        <v>1</v>
      </c>
      <c r="I81" s="110">
        <f>G81*H81</f>
        <v>0</v>
      </c>
      <c r="J81" s="92"/>
      <c r="K81" s="118">
        <v>1</v>
      </c>
      <c r="L81" s="118">
        <v>1</v>
      </c>
      <c r="M81" s="118">
        <v>1</v>
      </c>
      <c r="N81" s="118">
        <v>1</v>
      </c>
      <c r="O81" s="118">
        <v>1</v>
      </c>
      <c r="P81" s="118">
        <v>1</v>
      </c>
      <c r="Q81" s="99">
        <f t="shared" si="28"/>
        <v>1</v>
      </c>
      <c r="R81" s="92"/>
    </row>
    <row r="82" spans="1:18" ht="12.95" customHeight="1" x14ac:dyDescent="0.25">
      <c r="A82" s="92"/>
      <c r="B82" s="243"/>
      <c r="C82" s="114"/>
      <c r="D82" s="125"/>
      <c r="E82" s="125"/>
      <c r="F82" s="125"/>
      <c r="G82" s="126"/>
      <c r="H82" s="116">
        <f t="shared" si="27"/>
        <v>1</v>
      </c>
      <c r="I82" s="110">
        <f t="shared" ref="I82:I87" si="29">G82*H82</f>
        <v>0</v>
      </c>
      <c r="J82" s="92"/>
      <c r="K82" s="118">
        <v>1</v>
      </c>
      <c r="L82" s="118">
        <v>1</v>
      </c>
      <c r="M82" s="118">
        <v>1</v>
      </c>
      <c r="N82" s="118">
        <v>1</v>
      </c>
      <c r="O82" s="118">
        <v>1</v>
      </c>
      <c r="P82" s="118">
        <v>1</v>
      </c>
      <c r="Q82" s="99">
        <f t="shared" si="28"/>
        <v>1</v>
      </c>
      <c r="R82" s="92"/>
    </row>
    <row r="83" spans="1:18" ht="12.95" customHeight="1" x14ac:dyDescent="0.25">
      <c r="A83" s="92"/>
      <c r="B83" s="243"/>
      <c r="C83" s="114"/>
      <c r="D83" s="125"/>
      <c r="E83" s="125"/>
      <c r="F83" s="125"/>
      <c r="G83" s="126"/>
      <c r="H83" s="116">
        <f t="shared" si="27"/>
        <v>1</v>
      </c>
      <c r="I83" s="110">
        <f t="shared" si="29"/>
        <v>0</v>
      </c>
      <c r="J83" s="92"/>
      <c r="K83" s="118">
        <v>1</v>
      </c>
      <c r="L83" s="118">
        <v>1</v>
      </c>
      <c r="M83" s="118">
        <v>1</v>
      </c>
      <c r="N83" s="118">
        <v>1</v>
      </c>
      <c r="O83" s="118">
        <v>1</v>
      </c>
      <c r="P83" s="118">
        <v>1</v>
      </c>
      <c r="Q83" s="99">
        <f t="shared" si="28"/>
        <v>1</v>
      </c>
      <c r="R83" s="92"/>
    </row>
    <row r="84" spans="1:18" ht="12.95" customHeight="1" x14ac:dyDescent="0.25">
      <c r="A84" s="92"/>
      <c r="B84" s="243"/>
      <c r="C84" s="114"/>
      <c r="D84" s="125"/>
      <c r="E84" s="125"/>
      <c r="F84" s="125"/>
      <c r="G84" s="126"/>
      <c r="H84" s="116">
        <f t="shared" si="27"/>
        <v>1</v>
      </c>
      <c r="I84" s="110">
        <f t="shared" si="29"/>
        <v>0</v>
      </c>
      <c r="J84" s="92"/>
      <c r="K84" s="118">
        <v>1</v>
      </c>
      <c r="L84" s="118">
        <v>1</v>
      </c>
      <c r="M84" s="118">
        <v>1</v>
      </c>
      <c r="N84" s="118">
        <v>1</v>
      </c>
      <c r="O84" s="118">
        <v>1</v>
      </c>
      <c r="P84" s="118">
        <v>1</v>
      </c>
      <c r="Q84" s="99">
        <f t="shared" si="28"/>
        <v>1</v>
      </c>
      <c r="R84" s="92"/>
    </row>
    <row r="85" spans="1:18" ht="12.95" customHeight="1" x14ac:dyDescent="0.25">
      <c r="A85" s="92"/>
      <c r="B85" s="243"/>
      <c r="C85" s="114"/>
      <c r="D85" s="125"/>
      <c r="E85" s="125"/>
      <c r="F85" s="125"/>
      <c r="G85" s="126"/>
      <c r="H85" s="116">
        <f t="shared" si="27"/>
        <v>1</v>
      </c>
      <c r="I85" s="110">
        <f t="shared" si="29"/>
        <v>0</v>
      </c>
      <c r="J85" s="92"/>
      <c r="K85" s="118">
        <v>1</v>
      </c>
      <c r="L85" s="118">
        <v>1</v>
      </c>
      <c r="M85" s="118">
        <v>1</v>
      </c>
      <c r="N85" s="118">
        <v>1</v>
      </c>
      <c r="O85" s="118">
        <v>1</v>
      </c>
      <c r="P85" s="118">
        <v>1</v>
      </c>
      <c r="Q85" s="99">
        <f t="shared" si="28"/>
        <v>1</v>
      </c>
      <c r="R85" s="92"/>
    </row>
    <row r="86" spans="1:18" ht="12.95" customHeight="1" x14ac:dyDescent="0.25">
      <c r="A86" s="92"/>
      <c r="B86" s="243"/>
      <c r="C86" s="114"/>
      <c r="D86" s="125"/>
      <c r="E86" s="125"/>
      <c r="F86" s="125"/>
      <c r="G86" s="126"/>
      <c r="H86" s="116">
        <f t="shared" si="27"/>
        <v>1</v>
      </c>
      <c r="I86" s="110">
        <f t="shared" si="29"/>
        <v>0</v>
      </c>
      <c r="J86" s="92"/>
      <c r="K86" s="118">
        <v>1</v>
      </c>
      <c r="L86" s="118">
        <v>1</v>
      </c>
      <c r="M86" s="118">
        <v>1</v>
      </c>
      <c r="N86" s="118">
        <v>1</v>
      </c>
      <c r="O86" s="118">
        <v>1</v>
      </c>
      <c r="P86" s="118">
        <v>1</v>
      </c>
      <c r="Q86" s="99">
        <f t="shared" si="28"/>
        <v>1</v>
      </c>
      <c r="R86" s="92"/>
    </row>
    <row r="87" spans="1:18" ht="12.95" customHeight="1" x14ac:dyDescent="0.25">
      <c r="A87" s="92"/>
      <c r="B87" s="243"/>
      <c r="C87" s="114"/>
      <c r="D87" s="125"/>
      <c r="E87" s="125"/>
      <c r="F87" s="125"/>
      <c r="G87" s="126"/>
      <c r="H87" s="116">
        <f t="shared" si="27"/>
        <v>1</v>
      </c>
      <c r="I87" s="110">
        <f t="shared" si="29"/>
        <v>0</v>
      </c>
      <c r="J87" s="92"/>
      <c r="K87" s="118">
        <v>1</v>
      </c>
      <c r="L87" s="118">
        <v>1</v>
      </c>
      <c r="M87" s="118">
        <v>1</v>
      </c>
      <c r="N87" s="118">
        <v>1</v>
      </c>
      <c r="O87" s="118">
        <v>1</v>
      </c>
      <c r="P87" s="118">
        <v>1</v>
      </c>
      <c r="Q87" s="99">
        <f t="shared" si="28"/>
        <v>1</v>
      </c>
      <c r="R87" s="92"/>
    </row>
    <row r="88" spans="1:18" ht="5.0999999999999996" customHeight="1" x14ac:dyDescent="0.25">
      <c r="A88" s="92"/>
      <c r="C88" s="123" t="s">
        <v>12</v>
      </c>
      <c r="G88" s="110"/>
      <c r="I88" s="110"/>
      <c r="J88" s="92"/>
      <c r="K88" s="100"/>
      <c r="L88" s="100"/>
      <c r="M88" s="100"/>
      <c r="N88" s="100"/>
      <c r="O88" s="100"/>
      <c r="P88" s="100"/>
      <c r="Q88" s="100"/>
      <c r="R88" s="92"/>
    </row>
    <row r="89" spans="1:18" ht="12.95" customHeight="1" x14ac:dyDescent="0.25">
      <c r="A89" s="92"/>
      <c r="B89" s="243" t="s">
        <v>66</v>
      </c>
      <c r="C89" s="111" t="s">
        <v>65</v>
      </c>
      <c r="D89" s="8"/>
      <c r="E89" s="8"/>
      <c r="F89" s="8"/>
      <c r="G89" s="10"/>
      <c r="H89" s="8"/>
      <c r="I89" s="10">
        <f>SUM(I91:I100)</f>
        <v>0</v>
      </c>
      <c r="J89" s="92"/>
      <c r="K89" s="112"/>
      <c r="L89" s="112"/>
      <c r="M89" s="112"/>
      <c r="N89" s="112"/>
      <c r="O89" s="112"/>
      <c r="P89" s="112"/>
      <c r="Q89" s="112"/>
      <c r="R89" s="92"/>
    </row>
    <row r="90" spans="1:18" ht="5.0999999999999996" customHeight="1" x14ac:dyDescent="0.25">
      <c r="A90" s="92"/>
      <c r="B90" s="243"/>
      <c r="G90" s="110"/>
      <c r="I90" s="110"/>
      <c r="J90" s="92"/>
      <c r="K90" s="100"/>
      <c r="L90" s="100"/>
      <c r="M90" s="100"/>
      <c r="N90" s="100"/>
      <c r="O90" s="100"/>
      <c r="P90" s="100"/>
      <c r="Q90" s="100"/>
      <c r="R90" s="92"/>
    </row>
    <row r="91" spans="1:18" ht="12.95" customHeight="1" x14ac:dyDescent="0.25">
      <c r="A91" s="92"/>
      <c r="B91" s="243"/>
      <c r="C91" s="114"/>
      <c r="D91" s="125"/>
      <c r="E91" s="125"/>
      <c r="F91" s="125"/>
      <c r="G91" s="126"/>
      <c r="H91" s="116">
        <f>Q91</f>
        <v>1</v>
      </c>
      <c r="I91" s="110">
        <f>G91*H91</f>
        <v>0</v>
      </c>
      <c r="J91" s="92"/>
      <c r="K91" s="118">
        <v>1</v>
      </c>
      <c r="L91" s="118">
        <v>1</v>
      </c>
      <c r="M91" s="118">
        <v>1</v>
      </c>
      <c r="N91" s="118">
        <v>1</v>
      </c>
      <c r="O91" s="118">
        <v>1</v>
      </c>
      <c r="P91" s="118">
        <v>1</v>
      </c>
      <c r="Q91" s="99">
        <f>K91*L91*M91*N91*O91*P91</f>
        <v>1</v>
      </c>
      <c r="R91" s="92"/>
    </row>
    <row r="92" spans="1:18" ht="12.95" customHeight="1" x14ac:dyDescent="0.25">
      <c r="A92" s="92"/>
      <c r="B92" s="243"/>
      <c r="C92" s="114"/>
      <c r="D92" s="125"/>
      <c r="E92" s="125"/>
      <c r="F92" s="125"/>
      <c r="G92" s="126"/>
      <c r="H92" s="116">
        <f t="shared" ref="H92:H100" si="30">Q92</f>
        <v>1</v>
      </c>
      <c r="I92" s="110">
        <f t="shared" ref="I92:I100" si="31">G92*H92</f>
        <v>0</v>
      </c>
      <c r="J92" s="92"/>
      <c r="K92" s="118">
        <v>1</v>
      </c>
      <c r="L92" s="118">
        <v>1</v>
      </c>
      <c r="M92" s="118">
        <v>1</v>
      </c>
      <c r="N92" s="118">
        <v>1</v>
      </c>
      <c r="O92" s="118">
        <v>1</v>
      </c>
      <c r="P92" s="118">
        <v>1</v>
      </c>
      <c r="Q92" s="99">
        <f t="shared" ref="Q92:Q100" si="32">K92*L92*M92*N92*O92*P92</f>
        <v>1</v>
      </c>
      <c r="R92" s="92"/>
    </row>
    <row r="93" spans="1:18" ht="12.95" customHeight="1" x14ac:dyDescent="0.25">
      <c r="A93" s="92"/>
      <c r="B93" s="243"/>
      <c r="C93" s="114"/>
      <c r="D93" s="125"/>
      <c r="E93" s="125"/>
      <c r="F93" s="125"/>
      <c r="G93" s="126"/>
      <c r="H93" s="116">
        <f t="shared" si="30"/>
        <v>1</v>
      </c>
      <c r="I93" s="110">
        <f t="shared" si="31"/>
        <v>0</v>
      </c>
      <c r="J93" s="92"/>
      <c r="K93" s="118">
        <v>1</v>
      </c>
      <c r="L93" s="118">
        <v>1</v>
      </c>
      <c r="M93" s="118">
        <v>1</v>
      </c>
      <c r="N93" s="118">
        <v>1</v>
      </c>
      <c r="O93" s="118">
        <v>1</v>
      </c>
      <c r="P93" s="118">
        <v>1</v>
      </c>
      <c r="Q93" s="99">
        <f t="shared" si="32"/>
        <v>1</v>
      </c>
      <c r="R93" s="92"/>
    </row>
    <row r="94" spans="1:18" ht="12.95" customHeight="1" x14ac:dyDescent="0.25">
      <c r="A94" s="92"/>
      <c r="B94" s="243"/>
      <c r="C94" s="114"/>
      <c r="D94" s="125"/>
      <c r="E94" s="125"/>
      <c r="F94" s="125"/>
      <c r="G94" s="126"/>
      <c r="H94" s="116">
        <f t="shared" si="30"/>
        <v>1</v>
      </c>
      <c r="I94" s="110">
        <f t="shared" si="31"/>
        <v>0</v>
      </c>
      <c r="J94" s="92"/>
      <c r="K94" s="118">
        <v>1</v>
      </c>
      <c r="L94" s="118">
        <v>1</v>
      </c>
      <c r="M94" s="118">
        <v>1</v>
      </c>
      <c r="N94" s="118">
        <v>1</v>
      </c>
      <c r="O94" s="118">
        <v>1</v>
      </c>
      <c r="P94" s="118">
        <v>1</v>
      </c>
      <c r="Q94" s="99">
        <f t="shared" si="32"/>
        <v>1</v>
      </c>
      <c r="R94" s="92"/>
    </row>
    <row r="95" spans="1:18" ht="12.95" customHeight="1" x14ac:dyDescent="0.25">
      <c r="A95" s="92"/>
      <c r="B95" s="243"/>
      <c r="C95" s="114"/>
      <c r="D95" s="125"/>
      <c r="E95" s="125"/>
      <c r="F95" s="125"/>
      <c r="G95" s="126"/>
      <c r="H95" s="116">
        <f t="shared" si="30"/>
        <v>1</v>
      </c>
      <c r="I95" s="110">
        <f t="shared" si="31"/>
        <v>0</v>
      </c>
      <c r="J95" s="92"/>
      <c r="K95" s="118">
        <v>1</v>
      </c>
      <c r="L95" s="118">
        <v>1</v>
      </c>
      <c r="M95" s="118">
        <v>1</v>
      </c>
      <c r="N95" s="118">
        <v>1</v>
      </c>
      <c r="O95" s="118">
        <v>1</v>
      </c>
      <c r="P95" s="118">
        <v>1</v>
      </c>
      <c r="Q95" s="99">
        <f t="shared" si="32"/>
        <v>1</v>
      </c>
      <c r="R95" s="92"/>
    </row>
    <row r="96" spans="1:18" ht="12.95" customHeight="1" x14ac:dyDescent="0.25">
      <c r="A96" s="92"/>
      <c r="B96" s="243"/>
      <c r="C96" s="114"/>
      <c r="D96" s="125"/>
      <c r="E96" s="125"/>
      <c r="F96" s="125"/>
      <c r="G96" s="126"/>
      <c r="H96" s="116">
        <f t="shared" si="30"/>
        <v>1</v>
      </c>
      <c r="I96" s="110">
        <f t="shared" si="31"/>
        <v>0</v>
      </c>
      <c r="J96" s="92"/>
      <c r="K96" s="118">
        <v>1</v>
      </c>
      <c r="L96" s="118">
        <v>1</v>
      </c>
      <c r="M96" s="118">
        <v>1</v>
      </c>
      <c r="N96" s="118">
        <v>1</v>
      </c>
      <c r="O96" s="118">
        <v>1</v>
      </c>
      <c r="P96" s="118">
        <v>1</v>
      </c>
      <c r="Q96" s="99">
        <f t="shared" si="32"/>
        <v>1</v>
      </c>
      <c r="R96" s="92"/>
    </row>
    <row r="97" spans="1:18" ht="12.95" customHeight="1" x14ac:dyDescent="0.25">
      <c r="A97" s="92"/>
      <c r="B97" s="243"/>
      <c r="C97" s="114"/>
      <c r="D97" s="125"/>
      <c r="E97" s="125"/>
      <c r="F97" s="125"/>
      <c r="G97" s="126"/>
      <c r="H97" s="116">
        <f t="shared" si="30"/>
        <v>1</v>
      </c>
      <c r="I97" s="110">
        <f t="shared" si="31"/>
        <v>0</v>
      </c>
      <c r="J97" s="92"/>
      <c r="K97" s="118">
        <v>1</v>
      </c>
      <c r="L97" s="118">
        <v>1</v>
      </c>
      <c r="M97" s="118">
        <v>1</v>
      </c>
      <c r="N97" s="118">
        <v>1</v>
      </c>
      <c r="O97" s="118">
        <v>1</v>
      </c>
      <c r="P97" s="118">
        <v>1</v>
      </c>
      <c r="Q97" s="99">
        <f t="shared" si="32"/>
        <v>1</v>
      </c>
      <c r="R97" s="92"/>
    </row>
    <row r="98" spans="1:18" ht="12.95" customHeight="1" x14ac:dyDescent="0.25">
      <c r="A98" s="92"/>
      <c r="B98" s="243"/>
      <c r="C98" s="114"/>
      <c r="D98" s="125"/>
      <c r="E98" s="125"/>
      <c r="F98" s="125"/>
      <c r="G98" s="126"/>
      <c r="H98" s="116">
        <f t="shared" si="30"/>
        <v>1</v>
      </c>
      <c r="I98" s="110">
        <f t="shared" si="31"/>
        <v>0</v>
      </c>
      <c r="J98" s="92"/>
      <c r="K98" s="118">
        <v>1</v>
      </c>
      <c r="L98" s="118">
        <v>1</v>
      </c>
      <c r="M98" s="118">
        <v>1</v>
      </c>
      <c r="N98" s="118">
        <v>1</v>
      </c>
      <c r="O98" s="118">
        <v>1</v>
      </c>
      <c r="P98" s="118">
        <v>1</v>
      </c>
      <c r="Q98" s="99">
        <f t="shared" si="32"/>
        <v>1</v>
      </c>
      <c r="R98" s="92"/>
    </row>
    <row r="99" spans="1:18" ht="12.95" customHeight="1" x14ac:dyDescent="0.25">
      <c r="A99" s="92"/>
      <c r="B99" s="243"/>
      <c r="C99" s="114"/>
      <c r="D99" s="125"/>
      <c r="E99" s="125"/>
      <c r="F99" s="125"/>
      <c r="G99" s="126"/>
      <c r="H99" s="116">
        <f t="shared" si="30"/>
        <v>1</v>
      </c>
      <c r="I99" s="110">
        <f t="shared" si="31"/>
        <v>0</v>
      </c>
      <c r="J99" s="92"/>
      <c r="K99" s="118">
        <v>1</v>
      </c>
      <c r="L99" s="118">
        <v>1</v>
      </c>
      <c r="M99" s="118">
        <v>1</v>
      </c>
      <c r="N99" s="118">
        <v>1</v>
      </c>
      <c r="O99" s="118">
        <v>1</v>
      </c>
      <c r="P99" s="118">
        <v>1</v>
      </c>
      <c r="Q99" s="99">
        <f t="shared" si="32"/>
        <v>1</v>
      </c>
      <c r="R99" s="92"/>
    </row>
    <row r="100" spans="1:18" ht="12.95" customHeight="1" x14ac:dyDescent="0.25">
      <c r="A100" s="92"/>
      <c r="B100" s="243"/>
      <c r="C100" s="114"/>
      <c r="D100" s="125"/>
      <c r="E100" s="125"/>
      <c r="F100" s="125"/>
      <c r="G100" s="126"/>
      <c r="H100" s="116">
        <f t="shared" si="30"/>
        <v>1</v>
      </c>
      <c r="I100" s="110">
        <f t="shared" si="31"/>
        <v>0</v>
      </c>
      <c r="J100" s="92"/>
      <c r="K100" s="118">
        <v>1</v>
      </c>
      <c r="L100" s="118">
        <v>1</v>
      </c>
      <c r="M100" s="118">
        <v>1</v>
      </c>
      <c r="N100" s="118">
        <v>1</v>
      </c>
      <c r="O100" s="118">
        <v>1</v>
      </c>
      <c r="P100" s="118">
        <v>1</v>
      </c>
      <c r="Q100" s="99">
        <f t="shared" si="32"/>
        <v>1</v>
      </c>
      <c r="R100" s="92"/>
    </row>
    <row r="101" spans="1:18" ht="5.0999999999999996" customHeight="1" x14ac:dyDescent="0.25">
      <c r="A101" s="92"/>
      <c r="C101" s="123" t="s">
        <v>12</v>
      </c>
      <c r="G101" s="110"/>
      <c r="I101" s="110"/>
      <c r="J101" s="92"/>
      <c r="K101" s="100"/>
      <c r="L101" s="100"/>
      <c r="M101" s="100"/>
      <c r="N101" s="100"/>
      <c r="O101" s="100"/>
      <c r="P101" s="100"/>
      <c r="Q101" s="100"/>
      <c r="R101" s="92"/>
    </row>
    <row r="102" spans="1:18" ht="12.95" customHeight="1" x14ac:dyDescent="0.25">
      <c r="A102" s="92"/>
      <c r="B102" s="244" t="s">
        <v>67</v>
      </c>
      <c r="C102" s="14" t="s">
        <v>68</v>
      </c>
      <c r="D102" s="7"/>
      <c r="E102" s="7"/>
      <c r="F102" s="7"/>
      <c r="G102" s="9"/>
      <c r="H102" s="7"/>
      <c r="I102" s="9">
        <f>SUM(I104:I113)</f>
        <v>0</v>
      </c>
      <c r="J102" s="92"/>
      <c r="K102" s="120"/>
      <c r="L102" s="120"/>
      <c r="M102" s="120"/>
      <c r="N102" s="120"/>
      <c r="O102" s="120"/>
      <c r="P102" s="120"/>
      <c r="Q102" s="120"/>
      <c r="R102" s="92"/>
    </row>
    <row r="103" spans="1:18" ht="5.0999999999999996" customHeight="1" x14ac:dyDescent="0.25">
      <c r="A103" s="92"/>
      <c r="B103" s="244"/>
      <c r="G103" s="110"/>
      <c r="I103" s="110"/>
      <c r="J103" s="92"/>
      <c r="K103" s="100"/>
      <c r="L103" s="100"/>
      <c r="M103" s="100"/>
      <c r="N103" s="100"/>
      <c r="O103" s="100"/>
      <c r="P103" s="100"/>
      <c r="Q103" s="100"/>
      <c r="R103" s="92"/>
    </row>
    <row r="104" spans="1:18" ht="12.95" customHeight="1" x14ac:dyDescent="0.25">
      <c r="A104" s="92"/>
      <c r="B104" s="244"/>
      <c r="C104" s="114"/>
      <c r="D104" s="125"/>
      <c r="E104" s="125"/>
      <c r="F104" s="125"/>
      <c r="G104" s="126"/>
      <c r="H104" s="116">
        <f>Q104</f>
        <v>1</v>
      </c>
      <c r="I104" s="110">
        <f>G104*H104</f>
        <v>0</v>
      </c>
      <c r="J104" s="92"/>
      <c r="K104" s="118">
        <v>1</v>
      </c>
      <c r="L104" s="118">
        <v>1</v>
      </c>
      <c r="M104" s="118">
        <v>1</v>
      </c>
      <c r="N104" s="118">
        <v>1</v>
      </c>
      <c r="O104" s="118">
        <v>1</v>
      </c>
      <c r="P104" s="118">
        <v>1</v>
      </c>
      <c r="Q104" s="99">
        <f>K104*L104*M104*N104*O104*P104</f>
        <v>1</v>
      </c>
      <c r="R104" s="92"/>
    </row>
    <row r="105" spans="1:18" ht="12.95" customHeight="1" x14ac:dyDescent="0.25">
      <c r="A105" s="92"/>
      <c r="B105" s="244"/>
      <c r="C105" s="114"/>
      <c r="D105" s="125"/>
      <c r="E105" s="125"/>
      <c r="F105" s="125"/>
      <c r="G105" s="126"/>
      <c r="H105" s="116">
        <f t="shared" ref="H105:H113" si="33">Q105</f>
        <v>1</v>
      </c>
      <c r="I105" s="110">
        <f t="shared" ref="I105:I113" si="34">G105*H105</f>
        <v>0</v>
      </c>
      <c r="J105" s="92"/>
      <c r="K105" s="118">
        <v>1</v>
      </c>
      <c r="L105" s="118">
        <v>1</v>
      </c>
      <c r="M105" s="118">
        <v>1</v>
      </c>
      <c r="N105" s="118">
        <v>1</v>
      </c>
      <c r="O105" s="118">
        <v>1</v>
      </c>
      <c r="P105" s="118">
        <v>1</v>
      </c>
      <c r="Q105" s="99">
        <f t="shared" ref="Q105:Q113" si="35">K105*L105*M105*N105*O105*P105</f>
        <v>1</v>
      </c>
      <c r="R105" s="92"/>
    </row>
    <row r="106" spans="1:18" ht="12.95" customHeight="1" x14ac:dyDescent="0.25">
      <c r="A106" s="92"/>
      <c r="B106" s="244"/>
      <c r="C106" s="114"/>
      <c r="D106" s="125"/>
      <c r="E106" s="125"/>
      <c r="F106" s="125"/>
      <c r="G106" s="126"/>
      <c r="H106" s="116">
        <f t="shared" si="33"/>
        <v>1</v>
      </c>
      <c r="I106" s="110">
        <f t="shared" si="34"/>
        <v>0</v>
      </c>
      <c r="J106" s="92"/>
      <c r="K106" s="118">
        <v>1</v>
      </c>
      <c r="L106" s="118">
        <v>1</v>
      </c>
      <c r="M106" s="118">
        <v>1</v>
      </c>
      <c r="N106" s="118">
        <v>1</v>
      </c>
      <c r="O106" s="118">
        <v>1</v>
      </c>
      <c r="P106" s="118">
        <v>1</v>
      </c>
      <c r="Q106" s="99">
        <f t="shared" si="35"/>
        <v>1</v>
      </c>
      <c r="R106" s="92"/>
    </row>
    <row r="107" spans="1:18" ht="12.95" customHeight="1" x14ac:dyDescent="0.25">
      <c r="A107" s="92"/>
      <c r="B107" s="244"/>
      <c r="C107" s="114"/>
      <c r="D107" s="125"/>
      <c r="E107" s="125"/>
      <c r="F107" s="125"/>
      <c r="G107" s="126"/>
      <c r="H107" s="116">
        <f t="shared" si="33"/>
        <v>1</v>
      </c>
      <c r="I107" s="110">
        <f t="shared" si="34"/>
        <v>0</v>
      </c>
      <c r="J107" s="92"/>
      <c r="K107" s="118">
        <v>1</v>
      </c>
      <c r="L107" s="118">
        <v>1</v>
      </c>
      <c r="M107" s="118">
        <v>1</v>
      </c>
      <c r="N107" s="118">
        <v>1</v>
      </c>
      <c r="O107" s="118">
        <v>1</v>
      </c>
      <c r="P107" s="118">
        <v>1</v>
      </c>
      <c r="Q107" s="99">
        <f t="shared" si="35"/>
        <v>1</v>
      </c>
      <c r="R107" s="92"/>
    </row>
    <row r="108" spans="1:18" ht="12.95" customHeight="1" x14ac:dyDescent="0.25">
      <c r="A108" s="92"/>
      <c r="B108" s="244"/>
      <c r="C108" s="114"/>
      <c r="D108" s="125"/>
      <c r="E108" s="125"/>
      <c r="F108" s="125"/>
      <c r="G108" s="126"/>
      <c r="H108" s="116">
        <f t="shared" si="33"/>
        <v>1</v>
      </c>
      <c r="I108" s="110">
        <f t="shared" si="34"/>
        <v>0</v>
      </c>
      <c r="J108" s="92"/>
      <c r="K108" s="118">
        <v>1</v>
      </c>
      <c r="L108" s="118">
        <v>1</v>
      </c>
      <c r="M108" s="118">
        <v>1</v>
      </c>
      <c r="N108" s="118">
        <v>1</v>
      </c>
      <c r="O108" s="118">
        <v>1</v>
      </c>
      <c r="P108" s="118">
        <v>1</v>
      </c>
      <c r="Q108" s="99">
        <f t="shared" si="35"/>
        <v>1</v>
      </c>
      <c r="R108" s="92"/>
    </row>
    <row r="109" spans="1:18" ht="12.95" customHeight="1" x14ac:dyDescent="0.25">
      <c r="A109" s="92"/>
      <c r="B109" s="244"/>
      <c r="C109" s="114"/>
      <c r="D109" s="125"/>
      <c r="E109" s="125"/>
      <c r="F109" s="125"/>
      <c r="G109" s="126"/>
      <c r="H109" s="116">
        <f t="shared" si="33"/>
        <v>1</v>
      </c>
      <c r="I109" s="110">
        <f t="shared" si="34"/>
        <v>0</v>
      </c>
      <c r="J109" s="92"/>
      <c r="K109" s="118">
        <v>1</v>
      </c>
      <c r="L109" s="118">
        <v>1</v>
      </c>
      <c r="M109" s="118">
        <v>1</v>
      </c>
      <c r="N109" s="118">
        <v>1</v>
      </c>
      <c r="O109" s="118">
        <v>1</v>
      </c>
      <c r="P109" s="118">
        <v>1</v>
      </c>
      <c r="Q109" s="99">
        <f t="shared" si="35"/>
        <v>1</v>
      </c>
      <c r="R109" s="92"/>
    </row>
    <row r="110" spans="1:18" ht="12.95" customHeight="1" x14ac:dyDescent="0.25">
      <c r="A110" s="92"/>
      <c r="B110" s="244"/>
      <c r="C110" s="114"/>
      <c r="D110" s="125"/>
      <c r="E110" s="125"/>
      <c r="F110" s="125"/>
      <c r="G110" s="126"/>
      <c r="H110" s="116">
        <f t="shared" si="33"/>
        <v>1</v>
      </c>
      <c r="I110" s="110">
        <f t="shared" si="34"/>
        <v>0</v>
      </c>
      <c r="J110" s="92"/>
      <c r="K110" s="118">
        <v>1</v>
      </c>
      <c r="L110" s="118">
        <v>1</v>
      </c>
      <c r="M110" s="118">
        <v>1</v>
      </c>
      <c r="N110" s="118">
        <v>1</v>
      </c>
      <c r="O110" s="118">
        <v>1</v>
      </c>
      <c r="P110" s="118">
        <v>1</v>
      </c>
      <c r="Q110" s="99">
        <f t="shared" si="35"/>
        <v>1</v>
      </c>
      <c r="R110" s="92"/>
    </row>
    <row r="111" spans="1:18" ht="12.95" customHeight="1" x14ac:dyDescent="0.25">
      <c r="A111" s="92"/>
      <c r="B111" s="244"/>
      <c r="C111" s="114"/>
      <c r="D111" s="125"/>
      <c r="E111" s="125"/>
      <c r="F111" s="125"/>
      <c r="G111" s="126"/>
      <c r="H111" s="116">
        <f t="shared" si="33"/>
        <v>1</v>
      </c>
      <c r="I111" s="110">
        <f t="shared" si="34"/>
        <v>0</v>
      </c>
      <c r="J111" s="92"/>
      <c r="K111" s="118">
        <v>1</v>
      </c>
      <c r="L111" s="118">
        <v>1</v>
      </c>
      <c r="M111" s="118">
        <v>1</v>
      </c>
      <c r="N111" s="118">
        <v>1</v>
      </c>
      <c r="O111" s="118">
        <v>1</v>
      </c>
      <c r="P111" s="118">
        <v>1</v>
      </c>
      <c r="Q111" s="99">
        <f t="shared" si="35"/>
        <v>1</v>
      </c>
      <c r="R111" s="92"/>
    </row>
    <row r="112" spans="1:18" ht="12.95" customHeight="1" x14ac:dyDescent="0.25">
      <c r="A112" s="92"/>
      <c r="B112" s="244"/>
      <c r="C112" s="114"/>
      <c r="D112" s="125"/>
      <c r="E112" s="125"/>
      <c r="F112" s="125"/>
      <c r="G112" s="126"/>
      <c r="H112" s="116">
        <f t="shared" si="33"/>
        <v>1</v>
      </c>
      <c r="I112" s="110">
        <f t="shared" si="34"/>
        <v>0</v>
      </c>
      <c r="J112" s="92"/>
      <c r="K112" s="118">
        <v>1</v>
      </c>
      <c r="L112" s="118">
        <v>1</v>
      </c>
      <c r="M112" s="118">
        <v>1</v>
      </c>
      <c r="N112" s="118">
        <v>1</v>
      </c>
      <c r="O112" s="118">
        <v>1</v>
      </c>
      <c r="P112" s="118">
        <v>1</v>
      </c>
      <c r="Q112" s="99">
        <f t="shared" si="35"/>
        <v>1</v>
      </c>
      <c r="R112" s="92"/>
    </row>
    <row r="113" spans="1:18" ht="12.95" customHeight="1" x14ac:dyDescent="0.25">
      <c r="A113" s="92"/>
      <c r="B113" s="244"/>
      <c r="C113" s="114"/>
      <c r="D113" s="125"/>
      <c r="E113" s="125"/>
      <c r="F113" s="125"/>
      <c r="G113" s="126"/>
      <c r="H113" s="116">
        <f t="shared" si="33"/>
        <v>1</v>
      </c>
      <c r="I113" s="110">
        <f t="shared" si="34"/>
        <v>0</v>
      </c>
      <c r="J113" s="92"/>
      <c r="K113" s="118">
        <v>1</v>
      </c>
      <c r="L113" s="118">
        <v>1</v>
      </c>
      <c r="M113" s="118">
        <v>1</v>
      </c>
      <c r="N113" s="118">
        <v>1</v>
      </c>
      <c r="O113" s="118">
        <v>1</v>
      </c>
      <c r="P113" s="118">
        <v>1</v>
      </c>
      <c r="Q113" s="99">
        <f t="shared" si="35"/>
        <v>1</v>
      </c>
      <c r="R113" s="92"/>
    </row>
    <row r="114" spans="1:18" ht="5.0999999999999996" customHeight="1" x14ac:dyDescent="0.25">
      <c r="A114" s="92"/>
      <c r="C114" s="123" t="s">
        <v>12</v>
      </c>
      <c r="G114" s="110"/>
      <c r="I114" s="110"/>
      <c r="J114" s="92"/>
      <c r="K114" s="100"/>
      <c r="L114" s="100"/>
      <c r="M114" s="100"/>
      <c r="N114" s="100"/>
      <c r="O114" s="100"/>
      <c r="P114" s="100"/>
      <c r="Q114" s="100"/>
      <c r="R114" s="92"/>
    </row>
    <row r="115" spans="1:18" ht="12.95" customHeight="1" x14ac:dyDescent="0.25">
      <c r="A115" s="92"/>
      <c r="B115" s="43">
        <v>2</v>
      </c>
      <c r="C115" s="44" t="s">
        <v>70</v>
      </c>
      <c r="D115" s="45"/>
      <c r="E115" s="45"/>
      <c r="F115" s="45"/>
      <c r="G115" s="46"/>
      <c r="H115" s="45"/>
      <c r="I115" s="46"/>
      <c r="J115" s="92"/>
      <c r="K115" s="127"/>
      <c r="L115" s="127"/>
      <c r="M115" s="127"/>
      <c r="N115" s="127"/>
      <c r="O115" s="127"/>
      <c r="P115" s="127"/>
      <c r="Q115" s="127"/>
      <c r="R115" s="92"/>
    </row>
    <row r="116" spans="1:18" ht="5.0999999999999996" customHeight="1" x14ac:dyDescent="0.25">
      <c r="A116" s="92"/>
      <c r="G116" s="110"/>
      <c r="I116" s="110"/>
      <c r="J116" s="92"/>
      <c r="K116" s="100"/>
      <c r="L116" s="100"/>
      <c r="M116" s="100"/>
      <c r="N116" s="100"/>
      <c r="O116" s="100"/>
      <c r="P116" s="100"/>
      <c r="Q116" s="100"/>
      <c r="R116" s="92"/>
    </row>
    <row r="117" spans="1:18" ht="12.95" customHeight="1" x14ac:dyDescent="0.25">
      <c r="A117" s="92"/>
      <c r="B117" s="47" t="s">
        <v>69</v>
      </c>
      <c r="C117" s="48" t="s">
        <v>71</v>
      </c>
      <c r="D117" s="49"/>
      <c r="E117" s="49"/>
      <c r="F117" s="49"/>
      <c r="G117" s="50"/>
      <c r="H117" s="49"/>
      <c r="I117" s="50"/>
      <c r="J117" s="92"/>
      <c r="K117" s="128"/>
      <c r="L117" s="128"/>
      <c r="M117" s="128"/>
      <c r="N117" s="128"/>
      <c r="O117" s="128"/>
      <c r="P117" s="128"/>
      <c r="Q117" s="128"/>
      <c r="R117" s="92"/>
    </row>
    <row r="118" spans="1:18" ht="5.0999999999999996" customHeight="1" x14ac:dyDescent="0.25">
      <c r="A118" s="92"/>
      <c r="G118" s="110"/>
      <c r="I118" s="110"/>
      <c r="J118" s="92"/>
      <c r="K118" s="100"/>
      <c r="L118" s="100"/>
      <c r="M118" s="100"/>
      <c r="N118" s="100"/>
      <c r="O118" s="100"/>
      <c r="P118" s="100"/>
      <c r="Q118" s="100"/>
      <c r="R118" s="92"/>
    </row>
    <row r="119" spans="1:18" ht="12.95" customHeight="1" x14ac:dyDescent="0.25">
      <c r="A119" s="92"/>
      <c r="B119" s="245" t="s">
        <v>73</v>
      </c>
      <c r="C119" s="129" t="s">
        <v>76</v>
      </c>
      <c r="D119" s="51"/>
      <c r="E119" s="51"/>
      <c r="F119" s="51"/>
      <c r="G119" s="52"/>
      <c r="H119" s="51"/>
      <c r="I119" s="52">
        <f>SUM(I121:I130)</f>
        <v>0</v>
      </c>
      <c r="J119" s="92"/>
      <c r="K119" s="130"/>
      <c r="L119" s="130"/>
      <c r="M119" s="130"/>
      <c r="N119" s="130"/>
      <c r="O119" s="130"/>
      <c r="P119" s="130"/>
      <c r="Q119" s="130"/>
      <c r="R119" s="92"/>
    </row>
    <row r="120" spans="1:18" ht="5.0999999999999996" customHeight="1" x14ac:dyDescent="0.25">
      <c r="A120" s="92"/>
      <c r="B120" s="245"/>
      <c r="G120" s="110"/>
      <c r="I120" s="110"/>
      <c r="J120" s="92"/>
      <c r="K120" s="100"/>
      <c r="L120" s="100"/>
      <c r="M120" s="100"/>
      <c r="N120" s="100"/>
      <c r="O120" s="100"/>
      <c r="P120" s="100"/>
      <c r="Q120" s="100"/>
      <c r="R120" s="92"/>
    </row>
    <row r="121" spans="1:18" ht="12.95" customHeight="1" x14ac:dyDescent="0.25">
      <c r="A121" s="92"/>
      <c r="B121" s="245"/>
      <c r="C121" s="114"/>
      <c r="D121" s="125"/>
      <c r="E121" s="125"/>
      <c r="F121" s="125"/>
      <c r="G121" s="126"/>
      <c r="H121" s="116">
        <f>Q121</f>
        <v>1</v>
      </c>
      <c r="I121" s="110">
        <f>G121*H121</f>
        <v>0</v>
      </c>
      <c r="J121" s="92"/>
      <c r="K121" s="118">
        <v>1</v>
      </c>
      <c r="L121" s="118">
        <v>1</v>
      </c>
      <c r="M121" s="118">
        <v>1</v>
      </c>
      <c r="N121" s="118">
        <v>1</v>
      </c>
      <c r="O121" s="118">
        <v>1</v>
      </c>
      <c r="P121" s="118">
        <v>1</v>
      </c>
      <c r="Q121" s="99">
        <f>K121*L121*M121*N121*O121*P121</f>
        <v>1</v>
      </c>
      <c r="R121" s="92"/>
    </row>
    <row r="122" spans="1:18" ht="12.95" customHeight="1" x14ac:dyDescent="0.25">
      <c r="A122" s="92"/>
      <c r="B122" s="245"/>
      <c r="C122" s="114"/>
      <c r="D122" s="125"/>
      <c r="E122" s="125"/>
      <c r="F122" s="125"/>
      <c r="G122" s="126"/>
      <c r="H122" s="116">
        <f t="shared" ref="H122:H130" si="36">Q122</f>
        <v>1</v>
      </c>
      <c r="I122" s="110">
        <f t="shared" ref="I122:I130" si="37">G122*H122</f>
        <v>0</v>
      </c>
      <c r="J122" s="92"/>
      <c r="K122" s="118">
        <v>1</v>
      </c>
      <c r="L122" s="118">
        <v>1</v>
      </c>
      <c r="M122" s="118">
        <v>1</v>
      </c>
      <c r="N122" s="118">
        <v>1</v>
      </c>
      <c r="O122" s="118">
        <v>1</v>
      </c>
      <c r="P122" s="118">
        <v>1</v>
      </c>
      <c r="Q122" s="99">
        <f t="shared" ref="Q122:Q130" si="38">K122*L122*M122*N122*O122*P122</f>
        <v>1</v>
      </c>
      <c r="R122" s="92"/>
    </row>
    <row r="123" spans="1:18" ht="12.95" customHeight="1" x14ac:dyDescent="0.25">
      <c r="A123" s="92"/>
      <c r="B123" s="245"/>
      <c r="C123" s="114"/>
      <c r="D123" s="125"/>
      <c r="E123" s="125"/>
      <c r="F123" s="125"/>
      <c r="G123" s="126"/>
      <c r="H123" s="116">
        <f t="shared" si="36"/>
        <v>1</v>
      </c>
      <c r="I123" s="110">
        <f t="shared" si="37"/>
        <v>0</v>
      </c>
      <c r="J123" s="92"/>
      <c r="K123" s="118">
        <v>1</v>
      </c>
      <c r="L123" s="118">
        <v>1</v>
      </c>
      <c r="M123" s="118">
        <v>1</v>
      </c>
      <c r="N123" s="118">
        <v>1</v>
      </c>
      <c r="O123" s="118">
        <v>1</v>
      </c>
      <c r="P123" s="118">
        <v>1</v>
      </c>
      <c r="Q123" s="99">
        <f t="shared" si="38"/>
        <v>1</v>
      </c>
      <c r="R123" s="92"/>
    </row>
    <row r="124" spans="1:18" ht="12.95" customHeight="1" x14ac:dyDescent="0.25">
      <c r="A124" s="92"/>
      <c r="B124" s="245"/>
      <c r="C124" s="114"/>
      <c r="D124" s="125"/>
      <c r="E124" s="125"/>
      <c r="F124" s="125"/>
      <c r="G124" s="126"/>
      <c r="H124" s="116">
        <f t="shared" si="36"/>
        <v>1</v>
      </c>
      <c r="I124" s="110">
        <f t="shared" si="37"/>
        <v>0</v>
      </c>
      <c r="J124" s="92"/>
      <c r="K124" s="118">
        <v>1</v>
      </c>
      <c r="L124" s="118">
        <v>1</v>
      </c>
      <c r="M124" s="118">
        <v>1</v>
      </c>
      <c r="N124" s="118">
        <v>1</v>
      </c>
      <c r="O124" s="118">
        <v>1</v>
      </c>
      <c r="P124" s="118">
        <v>1</v>
      </c>
      <c r="Q124" s="99">
        <f t="shared" si="38"/>
        <v>1</v>
      </c>
      <c r="R124" s="92"/>
    </row>
    <row r="125" spans="1:18" ht="12.95" customHeight="1" x14ac:dyDescent="0.25">
      <c r="A125" s="92"/>
      <c r="B125" s="245"/>
      <c r="C125" s="114"/>
      <c r="D125" s="125"/>
      <c r="E125" s="125"/>
      <c r="F125" s="125"/>
      <c r="G125" s="126"/>
      <c r="H125" s="116">
        <f t="shared" si="36"/>
        <v>1</v>
      </c>
      <c r="I125" s="110">
        <f t="shared" si="37"/>
        <v>0</v>
      </c>
      <c r="J125" s="92"/>
      <c r="K125" s="118">
        <v>1</v>
      </c>
      <c r="L125" s="118">
        <v>1</v>
      </c>
      <c r="M125" s="118">
        <v>1</v>
      </c>
      <c r="N125" s="118">
        <v>1</v>
      </c>
      <c r="O125" s="118">
        <v>1</v>
      </c>
      <c r="P125" s="118">
        <v>1</v>
      </c>
      <c r="Q125" s="99">
        <f t="shared" si="38"/>
        <v>1</v>
      </c>
      <c r="R125" s="92"/>
    </row>
    <row r="126" spans="1:18" ht="12.95" customHeight="1" x14ac:dyDescent="0.25">
      <c r="A126" s="92"/>
      <c r="B126" s="245"/>
      <c r="C126" s="114"/>
      <c r="D126" s="125"/>
      <c r="E126" s="125"/>
      <c r="F126" s="125"/>
      <c r="G126" s="126"/>
      <c r="H126" s="116">
        <f t="shared" si="36"/>
        <v>1</v>
      </c>
      <c r="I126" s="110">
        <f t="shared" si="37"/>
        <v>0</v>
      </c>
      <c r="J126" s="92"/>
      <c r="K126" s="118">
        <v>1</v>
      </c>
      <c r="L126" s="118">
        <v>1</v>
      </c>
      <c r="M126" s="118">
        <v>1</v>
      </c>
      <c r="N126" s="118">
        <v>1</v>
      </c>
      <c r="O126" s="118">
        <v>1</v>
      </c>
      <c r="P126" s="118">
        <v>1</v>
      </c>
      <c r="Q126" s="99">
        <f t="shared" si="38"/>
        <v>1</v>
      </c>
      <c r="R126" s="92"/>
    </row>
    <row r="127" spans="1:18" ht="12.95" customHeight="1" x14ac:dyDescent="0.25">
      <c r="A127" s="92"/>
      <c r="B127" s="245"/>
      <c r="C127" s="114"/>
      <c r="D127" s="125"/>
      <c r="E127" s="125"/>
      <c r="F127" s="125"/>
      <c r="G127" s="126"/>
      <c r="H127" s="116">
        <f t="shared" si="36"/>
        <v>1</v>
      </c>
      <c r="I127" s="110">
        <f t="shared" si="37"/>
        <v>0</v>
      </c>
      <c r="J127" s="92"/>
      <c r="K127" s="118">
        <v>1</v>
      </c>
      <c r="L127" s="118">
        <v>1</v>
      </c>
      <c r="M127" s="118">
        <v>1</v>
      </c>
      <c r="N127" s="118">
        <v>1</v>
      </c>
      <c r="O127" s="118">
        <v>1</v>
      </c>
      <c r="P127" s="118">
        <v>1</v>
      </c>
      <c r="Q127" s="99">
        <f t="shared" si="38"/>
        <v>1</v>
      </c>
      <c r="R127" s="92"/>
    </row>
    <row r="128" spans="1:18" ht="12.95" customHeight="1" x14ac:dyDescent="0.25">
      <c r="A128" s="92"/>
      <c r="B128" s="245"/>
      <c r="C128" s="114"/>
      <c r="D128" s="125"/>
      <c r="E128" s="125"/>
      <c r="F128" s="125"/>
      <c r="G128" s="126"/>
      <c r="H128" s="116">
        <f t="shared" si="36"/>
        <v>1</v>
      </c>
      <c r="I128" s="110">
        <f t="shared" si="37"/>
        <v>0</v>
      </c>
      <c r="J128" s="92"/>
      <c r="K128" s="118">
        <v>1</v>
      </c>
      <c r="L128" s="118">
        <v>1</v>
      </c>
      <c r="M128" s="118">
        <v>1</v>
      </c>
      <c r="N128" s="118">
        <v>1</v>
      </c>
      <c r="O128" s="118">
        <v>1</v>
      </c>
      <c r="P128" s="118">
        <v>1</v>
      </c>
      <c r="Q128" s="99">
        <f t="shared" si="38"/>
        <v>1</v>
      </c>
      <c r="R128" s="92"/>
    </row>
    <row r="129" spans="1:18" ht="12.95" customHeight="1" x14ac:dyDescent="0.25">
      <c r="A129" s="92"/>
      <c r="B129" s="245"/>
      <c r="C129" s="114"/>
      <c r="D129" s="125"/>
      <c r="E129" s="125"/>
      <c r="F129" s="125"/>
      <c r="G129" s="126"/>
      <c r="H129" s="116">
        <f t="shared" si="36"/>
        <v>1</v>
      </c>
      <c r="I129" s="110">
        <f t="shared" si="37"/>
        <v>0</v>
      </c>
      <c r="J129" s="92"/>
      <c r="K129" s="118">
        <v>1</v>
      </c>
      <c r="L129" s="118">
        <v>1</v>
      </c>
      <c r="M129" s="118">
        <v>1</v>
      </c>
      <c r="N129" s="118">
        <v>1</v>
      </c>
      <c r="O129" s="118">
        <v>1</v>
      </c>
      <c r="P129" s="118">
        <v>1</v>
      </c>
      <c r="Q129" s="99">
        <f t="shared" si="38"/>
        <v>1</v>
      </c>
      <c r="R129" s="92"/>
    </row>
    <row r="130" spans="1:18" ht="12.95" customHeight="1" x14ac:dyDescent="0.25">
      <c r="A130" s="92"/>
      <c r="B130" s="245"/>
      <c r="C130" s="114"/>
      <c r="D130" s="125"/>
      <c r="E130" s="125"/>
      <c r="F130" s="125"/>
      <c r="G130" s="126"/>
      <c r="H130" s="116">
        <f t="shared" si="36"/>
        <v>1</v>
      </c>
      <c r="I130" s="110">
        <f t="shared" si="37"/>
        <v>0</v>
      </c>
      <c r="J130" s="92"/>
      <c r="K130" s="118">
        <v>1</v>
      </c>
      <c r="L130" s="118">
        <v>1</v>
      </c>
      <c r="M130" s="118">
        <v>1</v>
      </c>
      <c r="N130" s="118">
        <v>1</v>
      </c>
      <c r="O130" s="118">
        <v>1</v>
      </c>
      <c r="P130" s="118">
        <v>1</v>
      </c>
      <c r="Q130" s="99">
        <f t="shared" si="38"/>
        <v>1</v>
      </c>
      <c r="R130" s="92"/>
    </row>
    <row r="131" spans="1:18" ht="5.0999999999999996" customHeight="1" x14ac:dyDescent="0.25">
      <c r="A131" s="92"/>
      <c r="C131" s="123" t="s">
        <v>12</v>
      </c>
      <c r="G131" s="110"/>
      <c r="I131" s="110"/>
      <c r="J131" s="92"/>
      <c r="K131" s="100"/>
      <c r="L131" s="100"/>
      <c r="M131" s="100"/>
      <c r="N131" s="100"/>
      <c r="O131" s="100"/>
      <c r="P131" s="100"/>
      <c r="Q131" s="100"/>
      <c r="R131" s="92"/>
    </row>
    <row r="132" spans="1:18" ht="12.95" customHeight="1" x14ac:dyDescent="0.25">
      <c r="A132" s="92"/>
      <c r="B132" s="245" t="s">
        <v>74</v>
      </c>
      <c r="C132" s="129" t="s">
        <v>77</v>
      </c>
      <c r="D132" s="51"/>
      <c r="E132" s="51"/>
      <c r="F132" s="51"/>
      <c r="G132" s="52"/>
      <c r="H132" s="51"/>
      <c r="I132" s="52">
        <f>SUM(I134:I143)</f>
        <v>0</v>
      </c>
      <c r="J132" s="92"/>
      <c r="K132" s="130"/>
      <c r="L132" s="130"/>
      <c r="M132" s="130"/>
      <c r="N132" s="130"/>
      <c r="O132" s="130"/>
      <c r="P132" s="130"/>
      <c r="Q132" s="130"/>
      <c r="R132" s="92"/>
    </row>
    <row r="133" spans="1:18" ht="5.0999999999999996" customHeight="1" x14ac:dyDescent="0.25">
      <c r="A133" s="92"/>
      <c r="B133" s="245"/>
      <c r="G133" s="110"/>
      <c r="I133" s="110"/>
      <c r="J133" s="92"/>
      <c r="K133" s="100"/>
      <c r="L133" s="100"/>
      <c r="M133" s="100"/>
      <c r="N133" s="100"/>
      <c r="O133" s="100"/>
      <c r="P133" s="100"/>
      <c r="Q133" s="100"/>
      <c r="R133" s="92"/>
    </row>
    <row r="134" spans="1:18" ht="12.95" customHeight="1" x14ac:dyDescent="0.25">
      <c r="A134" s="92"/>
      <c r="B134" s="245"/>
      <c r="C134" s="114"/>
      <c r="D134" s="125"/>
      <c r="E134" s="125"/>
      <c r="F134" s="125"/>
      <c r="G134" s="126"/>
      <c r="H134" s="116">
        <f>Q134</f>
        <v>1</v>
      </c>
      <c r="I134" s="110">
        <f>G134*H134</f>
        <v>0</v>
      </c>
      <c r="J134" s="92"/>
      <c r="K134" s="118">
        <v>1</v>
      </c>
      <c r="L134" s="118">
        <v>1</v>
      </c>
      <c r="M134" s="118">
        <v>1</v>
      </c>
      <c r="N134" s="118">
        <v>1</v>
      </c>
      <c r="O134" s="118">
        <v>1</v>
      </c>
      <c r="P134" s="118">
        <v>1</v>
      </c>
      <c r="Q134" s="99">
        <f>K134*L134*M134*N134*O134*P134</f>
        <v>1</v>
      </c>
      <c r="R134" s="92"/>
    </row>
    <row r="135" spans="1:18" ht="12.95" customHeight="1" x14ac:dyDescent="0.25">
      <c r="A135" s="92"/>
      <c r="B135" s="245"/>
      <c r="C135" s="114"/>
      <c r="D135" s="125"/>
      <c r="E135" s="125"/>
      <c r="F135" s="125"/>
      <c r="G135" s="126"/>
      <c r="H135" s="116">
        <f t="shared" ref="H135:H143" si="39">Q135</f>
        <v>1</v>
      </c>
      <c r="I135" s="110">
        <f t="shared" ref="I135:I143" si="40">G135*H135</f>
        <v>0</v>
      </c>
      <c r="J135" s="92"/>
      <c r="K135" s="118">
        <v>1</v>
      </c>
      <c r="L135" s="118">
        <v>1</v>
      </c>
      <c r="M135" s="118">
        <v>1</v>
      </c>
      <c r="N135" s="118">
        <v>1</v>
      </c>
      <c r="O135" s="118">
        <v>1</v>
      </c>
      <c r="P135" s="118">
        <v>1</v>
      </c>
      <c r="Q135" s="99">
        <f t="shared" ref="Q135:Q143" si="41">K135*L135*M135*N135*O135*P135</f>
        <v>1</v>
      </c>
      <c r="R135" s="92"/>
    </row>
    <row r="136" spans="1:18" ht="12.95" customHeight="1" x14ac:dyDescent="0.25">
      <c r="A136" s="92"/>
      <c r="B136" s="245"/>
      <c r="C136" s="114"/>
      <c r="D136" s="125"/>
      <c r="E136" s="125"/>
      <c r="F136" s="125"/>
      <c r="G136" s="126"/>
      <c r="H136" s="116">
        <f t="shared" si="39"/>
        <v>1</v>
      </c>
      <c r="I136" s="110">
        <f t="shared" si="40"/>
        <v>0</v>
      </c>
      <c r="J136" s="92"/>
      <c r="K136" s="118">
        <v>1</v>
      </c>
      <c r="L136" s="118">
        <v>1</v>
      </c>
      <c r="M136" s="118">
        <v>1</v>
      </c>
      <c r="N136" s="118">
        <v>1</v>
      </c>
      <c r="O136" s="118">
        <v>1</v>
      </c>
      <c r="P136" s="118">
        <v>1</v>
      </c>
      <c r="Q136" s="99">
        <f t="shared" si="41"/>
        <v>1</v>
      </c>
      <c r="R136" s="92"/>
    </row>
    <row r="137" spans="1:18" ht="12.95" customHeight="1" x14ac:dyDescent="0.25">
      <c r="A137" s="92"/>
      <c r="B137" s="245"/>
      <c r="C137" s="114"/>
      <c r="D137" s="125"/>
      <c r="E137" s="125"/>
      <c r="F137" s="125"/>
      <c r="G137" s="126"/>
      <c r="H137" s="116">
        <f t="shared" si="39"/>
        <v>1</v>
      </c>
      <c r="I137" s="110">
        <f t="shared" si="40"/>
        <v>0</v>
      </c>
      <c r="J137" s="92"/>
      <c r="K137" s="118">
        <v>1</v>
      </c>
      <c r="L137" s="118">
        <v>1</v>
      </c>
      <c r="M137" s="118">
        <v>1</v>
      </c>
      <c r="N137" s="118">
        <v>1</v>
      </c>
      <c r="O137" s="118">
        <v>1</v>
      </c>
      <c r="P137" s="118">
        <v>1</v>
      </c>
      <c r="Q137" s="99">
        <f t="shared" si="41"/>
        <v>1</v>
      </c>
      <c r="R137" s="92"/>
    </row>
    <row r="138" spans="1:18" ht="12.95" customHeight="1" x14ac:dyDescent="0.25">
      <c r="A138" s="92"/>
      <c r="B138" s="245"/>
      <c r="C138" s="114"/>
      <c r="D138" s="125"/>
      <c r="E138" s="125"/>
      <c r="F138" s="125"/>
      <c r="G138" s="126"/>
      <c r="H138" s="116">
        <f t="shared" si="39"/>
        <v>1</v>
      </c>
      <c r="I138" s="110">
        <f t="shared" si="40"/>
        <v>0</v>
      </c>
      <c r="J138" s="92"/>
      <c r="K138" s="118">
        <v>1</v>
      </c>
      <c r="L138" s="118">
        <v>1</v>
      </c>
      <c r="M138" s="118">
        <v>1</v>
      </c>
      <c r="N138" s="118">
        <v>1</v>
      </c>
      <c r="O138" s="118">
        <v>1</v>
      </c>
      <c r="P138" s="118">
        <v>1</v>
      </c>
      <c r="Q138" s="99">
        <f t="shared" si="41"/>
        <v>1</v>
      </c>
      <c r="R138" s="92"/>
    </row>
    <row r="139" spans="1:18" ht="12.95" customHeight="1" x14ac:dyDescent="0.25">
      <c r="A139" s="92"/>
      <c r="B139" s="245"/>
      <c r="C139" s="114"/>
      <c r="D139" s="125"/>
      <c r="E139" s="125"/>
      <c r="F139" s="125"/>
      <c r="G139" s="126"/>
      <c r="H139" s="116">
        <f t="shared" si="39"/>
        <v>1</v>
      </c>
      <c r="I139" s="110">
        <f t="shared" si="40"/>
        <v>0</v>
      </c>
      <c r="J139" s="92"/>
      <c r="K139" s="118">
        <v>1</v>
      </c>
      <c r="L139" s="118">
        <v>1</v>
      </c>
      <c r="M139" s="118">
        <v>1</v>
      </c>
      <c r="N139" s="118">
        <v>1</v>
      </c>
      <c r="O139" s="118">
        <v>1</v>
      </c>
      <c r="P139" s="118">
        <v>1</v>
      </c>
      <c r="Q139" s="99">
        <f t="shared" si="41"/>
        <v>1</v>
      </c>
      <c r="R139" s="92"/>
    </row>
    <row r="140" spans="1:18" ht="12.95" customHeight="1" x14ac:dyDescent="0.25">
      <c r="A140" s="92"/>
      <c r="B140" s="245"/>
      <c r="C140" s="114"/>
      <c r="D140" s="125"/>
      <c r="E140" s="125"/>
      <c r="F140" s="125"/>
      <c r="G140" s="126"/>
      <c r="H140" s="116">
        <f t="shared" si="39"/>
        <v>1</v>
      </c>
      <c r="I140" s="110">
        <f t="shared" si="40"/>
        <v>0</v>
      </c>
      <c r="J140" s="92"/>
      <c r="K140" s="118">
        <v>1</v>
      </c>
      <c r="L140" s="118">
        <v>1</v>
      </c>
      <c r="M140" s="118">
        <v>1</v>
      </c>
      <c r="N140" s="118">
        <v>1</v>
      </c>
      <c r="O140" s="118">
        <v>1</v>
      </c>
      <c r="P140" s="118">
        <v>1</v>
      </c>
      <c r="Q140" s="99">
        <f t="shared" si="41"/>
        <v>1</v>
      </c>
      <c r="R140" s="92"/>
    </row>
    <row r="141" spans="1:18" ht="12.95" customHeight="1" x14ac:dyDescent="0.25">
      <c r="A141" s="92"/>
      <c r="B141" s="245"/>
      <c r="C141" s="114"/>
      <c r="D141" s="125"/>
      <c r="E141" s="125"/>
      <c r="F141" s="125"/>
      <c r="G141" s="126"/>
      <c r="H141" s="116">
        <f t="shared" si="39"/>
        <v>1</v>
      </c>
      <c r="I141" s="110">
        <f t="shared" si="40"/>
        <v>0</v>
      </c>
      <c r="J141" s="92"/>
      <c r="K141" s="118">
        <v>1</v>
      </c>
      <c r="L141" s="118">
        <v>1</v>
      </c>
      <c r="M141" s="118">
        <v>1</v>
      </c>
      <c r="N141" s="118">
        <v>1</v>
      </c>
      <c r="O141" s="118">
        <v>1</v>
      </c>
      <c r="P141" s="118">
        <v>1</v>
      </c>
      <c r="Q141" s="99">
        <f t="shared" si="41"/>
        <v>1</v>
      </c>
      <c r="R141" s="92"/>
    </row>
    <row r="142" spans="1:18" ht="12.95" customHeight="1" x14ac:dyDescent="0.25">
      <c r="A142" s="92"/>
      <c r="B142" s="245"/>
      <c r="C142" s="114"/>
      <c r="D142" s="125"/>
      <c r="E142" s="125"/>
      <c r="F142" s="125"/>
      <c r="G142" s="126"/>
      <c r="H142" s="116">
        <f t="shared" si="39"/>
        <v>1</v>
      </c>
      <c r="I142" s="110">
        <f t="shared" si="40"/>
        <v>0</v>
      </c>
      <c r="J142" s="92"/>
      <c r="K142" s="118">
        <v>1</v>
      </c>
      <c r="L142" s="118">
        <v>1</v>
      </c>
      <c r="M142" s="118">
        <v>1</v>
      </c>
      <c r="N142" s="118">
        <v>1</v>
      </c>
      <c r="O142" s="118">
        <v>1</v>
      </c>
      <c r="P142" s="118">
        <v>1</v>
      </c>
      <c r="Q142" s="99">
        <f t="shared" si="41"/>
        <v>1</v>
      </c>
      <c r="R142" s="92"/>
    </row>
    <row r="143" spans="1:18" ht="12.95" customHeight="1" x14ac:dyDescent="0.25">
      <c r="A143" s="92"/>
      <c r="B143" s="245"/>
      <c r="C143" s="114"/>
      <c r="D143" s="125"/>
      <c r="E143" s="125"/>
      <c r="F143" s="125"/>
      <c r="G143" s="126"/>
      <c r="H143" s="116">
        <f t="shared" si="39"/>
        <v>1</v>
      </c>
      <c r="I143" s="110">
        <f t="shared" si="40"/>
        <v>0</v>
      </c>
      <c r="J143" s="92"/>
      <c r="K143" s="118">
        <v>1</v>
      </c>
      <c r="L143" s="118">
        <v>1</v>
      </c>
      <c r="M143" s="118">
        <v>1</v>
      </c>
      <c r="N143" s="118">
        <v>1</v>
      </c>
      <c r="O143" s="118">
        <v>1</v>
      </c>
      <c r="P143" s="118">
        <v>1</v>
      </c>
      <c r="Q143" s="99">
        <f t="shared" si="41"/>
        <v>1</v>
      </c>
      <c r="R143" s="92"/>
    </row>
    <row r="144" spans="1:18" ht="5.0999999999999996" customHeight="1" x14ac:dyDescent="0.25">
      <c r="A144" s="92"/>
      <c r="C144" s="123" t="s">
        <v>12</v>
      </c>
      <c r="G144" s="110"/>
      <c r="I144" s="110"/>
      <c r="J144" s="92"/>
      <c r="K144" s="100"/>
      <c r="L144" s="100"/>
      <c r="M144" s="100"/>
      <c r="N144" s="100"/>
      <c r="O144" s="100"/>
      <c r="P144" s="100"/>
      <c r="Q144" s="100"/>
      <c r="R144" s="92"/>
    </row>
    <row r="145" spans="1:18" ht="12.95" customHeight="1" x14ac:dyDescent="0.25">
      <c r="A145" s="92"/>
      <c r="B145" s="245" t="s">
        <v>75</v>
      </c>
      <c r="C145" s="129" t="s">
        <v>78</v>
      </c>
      <c r="D145" s="51"/>
      <c r="E145" s="51"/>
      <c r="F145" s="51"/>
      <c r="G145" s="52"/>
      <c r="H145" s="51"/>
      <c r="I145" s="52">
        <f>SUM(I147:I156)</f>
        <v>0</v>
      </c>
      <c r="J145" s="92"/>
      <c r="K145" s="130"/>
      <c r="L145" s="130"/>
      <c r="M145" s="130"/>
      <c r="N145" s="130"/>
      <c r="O145" s="130"/>
      <c r="P145" s="130"/>
      <c r="Q145" s="130"/>
      <c r="R145" s="92"/>
    </row>
    <row r="146" spans="1:18" ht="5.0999999999999996" customHeight="1" x14ac:dyDescent="0.25">
      <c r="A146" s="92"/>
      <c r="B146" s="245"/>
      <c r="G146" s="110"/>
      <c r="I146" s="110"/>
      <c r="J146" s="92"/>
      <c r="K146" s="100"/>
      <c r="L146" s="100"/>
      <c r="M146" s="100"/>
      <c r="N146" s="100"/>
      <c r="O146" s="100"/>
      <c r="P146" s="100"/>
      <c r="Q146" s="100"/>
      <c r="R146" s="92"/>
    </row>
    <row r="147" spans="1:18" ht="12.95" customHeight="1" x14ac:dyDescent="0.25">
      <c r="A147" s="92"/>
      <c r="B147" s="245"/>
      <c r="C147" s="114"/>
      <c r="D147" s="125"/>
      <c r="E147" s="125"/>
      <c r="F147" s="125"/>
      <c r="G147" s="126"/>
      <c r="H147" s="116">
        <f>Q147</f>
        <v>1</v>
      </c>
      <c r="I147" s="110">
        <f>G147*H147</f>
        <v>0</v>
      </c>
      <c r="J147" s="92"/>
      <c r="K147" s="118">
        <v>1</v>
      </c>
      <c r="L147" s="118">
        <v>1</v>
      </c>
      <c r="M147" s="118">
        <v>1</v>
      </c>
      <c r="N147" s="118">
        <v>1</v>
      </c>
      <c r="O147" s="118">
        <v>1</v>
      </c>
      <c r="P147" s="118">
        <v>1</v>
      </c>
      <c r="Q147" s="99">
        <f>K147*L147*M147*N147*O147*P147</f>
        <v>1</v>
      </c>
      <c r="R147" s="92"/>
    </row>
    <row r="148" spans="1:18" ht="12.95" customHeight="1" x14ac:dyDescent="0.25">
      <c r="A148" s="92"/>
      <c r="B148" s="245"/>
      <c r="C148" s="114"/>
      <c r="D148" s="125"/>
      <c r="E148" s="125"/>
      <c r="F148" s="125"/>
      <c r="G148" s="126"/>
      <c r="H148" s="116">
        <f t="shared" ref="H148:H156" si="42">Q148</f>
        <v>1</v>
      </c>
      <c r="I148" s="110">
        <f t="shared" ref="I148:I156" si="43">G148*H148</f>
        <v>0</v>
      </c>
      <c r="J148" s="92"/>
      <c r="K148" s="118">
        <v>1</v>
      </c>
      <c r="L148" s="118">
        <v>1</v>
      </c>
      <c r="M148" s="118">
        <v>1</v>
      </c>
      <c r="N148" s="118">
        <v>1</v>
      </c>
      <c r="O148" s="118">
        <v>1</v>
      </c>
      <c r="P148" s="118">
        <v>1</v>
      </c>
      <c r="Q148" s="99">
        <f t="shared" ref="Q148:Q156" si="44">K148*L148*M148*N148*O148*P148</f>
        <v>1</v>
      </c>
      <c r="R148" s="92"/>
    </row>
    <row r="149" spans="1:18" ht="12.95" customHeight="1" x14ac:dyDescent="0.25">
      <c r="A149" s="92"/>
      <c r="B149" s="245"/>
      <c r="C149" s="114"/>
      <c r="D149" s="125"/>
      <c r="E149" s="125"/>
      <c r="F149" s="125"/>
      <c r="G149" s="126"/>
      <c r="H149" s="116">
        <f t="shared" si="42"/>
        <v>1</v>
      </c>
      <c r="I149" s="110">
        <f t="shared" si="43"/>
        <v>0</v>
      </c>
      <c r="J149" s="92"/>
      <c r="K149" s="118">
        <v>1</v>
      </c>
      <c r="L149" s="118">
        <v>1</v>
      </c>
      <c r="M149" s="118">
        <v>1</v>
      </c>
      <c r="N149" s="118">
        <v>1</v>
      </c>
      <c r="O149" s="118">
        <v>1</v>
      </c>
      <c r="P149" s="118">
        <v>1</v>
      </c>
      <c r="Q149" s="99">
        <f t="shared" si="44"/>
        <v>1</v>
      </c>
      <c r="R149" s="92"/>
    </row>
    <row r="150" spans="1:18" ht="12.95" customHeight="1" x14ac:dyDescent="0.25">
      <c r="A150" s="92"/>
      <c r="B150" s="245"/>
      <c r="C150" s="114"/>
      <c r="D150" s="125"/>
      <c r="E150" s="125"/>
      <c r="F150" s="125"/>
      <c r="G150" s="126"/>
      <c r="H150" s="116">
        <f t="shared" si="42"/>
        <v>1</v>
      </c>
      <c r="I150" s="110">
        <f t="shared" si="43"/>
        <v>0</v>
      </c>
      <c r="J150" s="92"/>
      <c r="K150" s="118">
        <v>1</v>
      </c>
      <c r="L150" s="118">
        <v>1</v>
      </c>
      <c r="M150" s="118">
        <v>1</v>
      </c>
      <c r="N150" s="118">
        <v>1</v>
      </c>
      <c r="O150" s="118">
        <v>1</v>
      </c>
      <c r="P150" s="118">
        <v>1</v>
      </c>
      <c r="Q150" s="99">
        <f t="shared" si="44"/>
        <v>1</v>
      </c>
      <c r="R150" s="92"/>
    </row>
    <row r="151" spans="1:18" ht="12.95" customHeight="1" x14ac:dyDescent="0.25">
      <c r="A151" s="92"/>
      <c r="B151" s="245"/>
      <c r="C151" s="114"/>
      <c r="D151" s="125"/>
      <c r="E151" s="125"/>
      <c r="F151" s="125"/>
      <c r="G151" s="126"/>
      <c r="H151" s="116">
        <f t="shared" si="42"/>
        <v>1</v>
      </c>
      <c r="I151" s="110">
        <f t="shared" si="43"/>
        <v>0</v>
      </c>
      <c r="J151" s="92"/>
      <c r="K151" s="118">
        <v>1</v>
      </c>
      <c r="L151" s="118">
        <v>1</v>
      </c>
      <c r="M151" s="118">
        <v>1</v>
      </c>
      <c r="N151" s="118">
        <v>1</v>
      </c>
      <c r="O151" s="118">
        <v>1</v>
      </c>
      <c r="P151" s="118">
        <v>1</v>
      </c>
      <c r="Q151" s="99">
        <f t="shared" si="44"/>
        <v>1</v>
      </c>
      <c r="R151" s="92"/>
    </row>
    <row r="152" spans="1:18" ht="12.95" customHeight="1" x14ac:dyDescent="0.25">
      <c r="A152" s="92"/>
      <c r="B152" s="245"/>
      <c r="C152" s="114"/>
      <c r="D152" s="125"/>
      <c r="E152" s="125"/>
      <c r="F152" s="125"/>
      <c r="G152" s="126"/>
      <c r="H152" s="116">
        <f t="shared" si="42"/>
        <v>1</v>
      </c>
      <c r="I152" s="110">
        <f t="shared" si="43"/>
        <v>0</v>
      </c>
      <c r="J152" s="92"/>
      <c r="K152" s="118">
        <v>1</v>
      </c>
      <c r="L152" s="118">
        <v>1</v>
      </c>
      <c r="M152" s="118">
        <v>1</v>
      </c>
      <c r="N152" s="118">
        <v>1</v>
      </c>
      <c r="O152" s="118">
        <v>1</v>
      </c>
      <c r="P152" s="118">
        <v>1</v>
      </c>
      <c r="Q152" s="99">
        <f t="shared" si="44"/>
        <v>1</v>
      </c>
      <c r="R152" s="92"/>
    </row>
    <row r="153" spans="1:18" ht="12.95" customHeight="1" x14ac:dyDescent="0.25">
      <c r="A153" s="92"/>
      <c r="B153" s="245"/>
      <c r="C153" s="114"/>
      <c r="D153" s="125"/>
      <c r="E153" s="125"/>
      <c r="F153" s="125"/>
      <c r="G153" s="126"/>
      <c r="H153" s="116">
        <f t="shared" si="42"/>
        <v>1</v>
      </c>
      <c r="I153" s="110">
        <f t="shared" si="43"/>
        <v>0</v>
      </c>
      <c r="J153" s="92"/>
      <c r="K153" s="118">
        <v>1</v>
      </c>
      <c r="L153" s="118">
        <v>1</v>
      </c>
      <c r="M153" s="118">
        <v>1</v>
      </c>
      <c r="N153" s="118">
        <v>1</v>
      </c>
      <c r="O153" s="118">
        <v>1</v>
      </c>
      <c r="P153" s="118">
        <v>1</v>
      </c>
      <c r="Q153" s="99">
        <f t="shared" si="44"/>
        <v>1</v>
      </c>
      <c r="R153" s="92"/>
    </row>
    <row r="154" spans="1:18" ht="12.95" customHeight="1" x14ac:dyDescent="0.25">
      <c r="A154" s="92"/>
      <c r="B154" s="245"/>
      <c r="C154" s="114"/>
      <c r="D154" s="125"/>
      <c r="E154" s="125"/>
      <c r="F154" s="125"/>
      <c r="G154" s="126"/>
      <c r="H154" s="116">
        <f t="shared" si="42"/>
        <v>1</v>
      </c>
      <c r="I154" s="110">
        <f t="shared" si="43"/>
        <v>0</v>
      </c>
      <c r="J154" s="92"/>
      <c r="K154" s="118">
        <v>1</v>
      </c>
      <c r="L154" s="118">
        <v>1</v>
      </c>
      <c r="M154" s="118">
        <v>1</v>
      </c>
      <c r="N154" s="118">
        <v>1</v>
      </c>
      <c r="O154" s="118">
        <v>1</v>
      </c>
      <c r="P154" s="118">
        <v>1</v>
      </c>
      <c r="Q154" s="99">
        <f t="shared" si="44"/>
        <v>1</v>
      </c>
      <c r="R154" s="92"/>
    </row>
    <row r="155" spans="1:18" ht="12.95" customHeight="1" x14ac:dyDescent="0.25">
      <c r="A155" s="92"/>
      <c r="B155" s="245"/>
      <c r="C155" s="114"/>
      <c r="D155" s="125"/>
      <c r="E155" s="125"/>
      <c r="F155" s="125"/>
      <c r="G155" s="126"/>
      <c r="H155" s="116">
        <f t="shared" si="42"/>
        <v>1</v>
      </c>
      <c r="I155" s="110">
        <f t="shared" si="43"/>
        <v>0</v>
      </c>
      <c r="J155" s="92"/>
      <c r="K155" s="118">
        <v>1</v>
      </c>
      <c r="L155" s="118">
        <v>1</v>
      </c>
      <c r="M155" s="118">
        <v>1</v>
      </c>
      <c r="N155" s="118">
        <v>1</v>
      </c>
      <c r="O155" s="118">
        <v>1</v>
      </c>
      <c r="P155" s="118">
        <v>1</v>
      </c>
      <c r="Q155" s="99">
        <f t="shared" si="44"/>
        <v>1</v>
      </c>
      <c r="R155" s="92"/>
    </row>
    <row r="156" spans="1:18" ht="12.95" customHeight="1" x14ac:dyDescent="0.25">
      <c r="A156" s="92"/>
      <c r="B156" s="245"/>
      <c r="C156" s="114"/>
      <c r="D156" s="125"/>
      <c r="E156" s="125"/>
      <c r="F156" s="125"/>
      <c r="G156" s="126"/>
      <c r="H156" s="116">
        <f t="shared" si="42"/>
        <v>1</v>
      </c>
      <c r="I156" s="110">
        <f t="shared" si="43"/>
        <v>0</v>
      </c>
      <c r="J156" s="92"/>
      <c r="K156" s="118">
        <v>1</v>
      </c>
      <c r="L156" s="118">
        <v>1</v>
      </c>
      <c r="M156" s="118">
        <v>1</v>
      </c>
      <c r="N156" s="118">
        <v>1</v>
      </c>
      <c r="O156" s="118">
        <v>1</v>
      </c>
      <c r="P156" s="118">
        <v>1</v>
      </c>
      <c r="Q156" s="99">
        <f t="shared" si="44"/>
        <v>1</v>
      </c>
      <c r="R156" s="92"/>
    </row>
    <row r="157" spans="1:18" ht="5.0999999999999996" customHeight="1" x14ac:dyDescent="0.25">
      <c r="A157" s="92"/>
      <c r="C157" s="123" t="s">
        <v>12</v>
      </c>
      <c r="G157" s="110"/>
      <c r="I157" s="110"/>
      <c r="J157" s="92"/>
      <c r="K157" s="100"/>
      <c r="L157" s="100"/>
      <c r="M157" s="100"/>
      <c r="N157" s="100"/>
      <c r="O157" s="100"/>
      <c r="P157" s="100"/>
      <c r="Q157" s="100"/>
      <c r="R157" s="92"/>
    </row>
    <row r="158" spans="1:18" ht="12.95" customHeight="1" x14ac:dyDescent="0.25">
      <c r="A158" s="92"/>
      <c r="B158" s="47" t="s">
        <v>72</v>
      </c>
      <c r="C158" s="48" t="s">
        <v>79</v>
      </c>
      <c r="D158" s="49"/>
      <c r="E158" s="49"/>
      <c r="F158" s="49"/>
      <c r="G158" s="50"/>
      <c r="H158" s="49"/>
      <c r="I158" s="50"/>
      <c r="J158" s="92"/>
      <c r="K158" s="128"/>
      <c r="L158" s="128"/>
      <c r="M158" s="128"/>
      <c r="N158" s="128"/>
      <c r="O158" s="128"/>
      <c r="P158" s="128"/>
      <c r="Q158" s="128"/>
      <c r="R158" s="92"/>
    </row>
    <row r="159" spans="1:18" ht="5.0999999999999996" customHeight="1" x14ac:dyDescent="0.25">
      <c r="A159" s="92"/>
      <c r="G159" s="110"/>
      <c r="I159" s="110"/>
      <c r="J159" s="92"/>
      <c r="K159" s="100"/>
      <c r="L159" s="100"/>
      <c r="M159" s="100"/>
      <c r="N159" s="100"/>
      <c r="O159" s="100"/>
      <c r="P159" s="100"/>
      <c r="Q159" s="100"/>
      <c r="R159" s="92"/>
    </row>
    <row r="160" spans="1:18" ht="12.95" customHeight="1" x14ac:dyDescent="0.25">
      <c r="A160" s="92"/>
      <c r="B160" s="245" t="s">
        <v>80</v>
      </c>
      <c r="C160" s="129" t="s">
        <v>81</v>
      </c>
      <c r="D160" s="51"/>
      <c r="E160" s="51"/>
      <c r="F160" s="51"/>
      <c r="G160" s="52"/>
      <c r="H160" s="51"/>
      <c r="I160" s="52">
        <f>SUM(I162:I171)</f>
        <v>0</v>
      </c>
      <c r="J160" s="92"/>
      <c r="K160" s="130"/>
      <c r="L160" s="130"/>
      <c r="M160" s="130"/>
      <c r="N160" s="130"/>
      <c r="O160" s="130"/>
      <c r="P160" s="130"/>
      <c r="Q160" s="130"/>
      <c r="R160" s="92"/>
    </row>
    <row r="161" spans="1:18" ht="5.0999999999999996" customHeight="1" x14ac:dyDescent="0.25">
      <c r="A161" s="92"/>
      <c r="B161" s="245"/>
      <c r="G161" s="110"/>
      <c r="I161" s="110"/>
      <c r="J161" s="92"/>
      <c r="K161" s="100"/>
      <c r="L161" s="100"/>
      <c r="M161" s="100"/>
      <c r="N161" s="100"/>
      <c r="O161" s="100"/>
      <c r="P161" s="100"/>
      <c r="Q161" s="100"/>
      <c r="R161" s="92"/>
    </row>
    <row r="162" spans="1:18" ht="12.95" customHeight="1" x14ac:dyDescent="0.25">
      <c r="A162" s="92"/>
      <c r="B162" s="245"/>
      <c r="C162" s="114"/>
      <c r="D162" s="125"/>
      <c r="E162" s="125"/>
      <c r="F162" s="125"/>
      <c r="G162" s="126"/>
      <c r="H162" s="116">
        <f>Q162</f>
        <v>1</v>
      </c>
      <c r="I162" s="110">
        <f>G162*H162</f>
        <v>0</v>
      </c>
      <c r="J162" s="92"/>
      <c r="K162" s="118">
        <v>1</v>
      </c>
      <c r="L162" s="118">
        <v>1</v>
      </c>
      <c r="M162" s="118">
        <v>1</v>
      </c>
      <c r="N162" s="118">
        <v>1</v>
      </c>
      <c r="O162" s="118">
        <v>1</v>
      </c>
      <c r="P162" s="118">
        <v>1</v>
      </c>
      <c r="Q162" s="99">
        <f>K162*L162*M162*N162*O162*P162</f>
        <v>1</v>
      </c>
      <c r="R162" s="92"/>
    </row>
    <row r="163" spans="1:18" ht="12.95" customHeight="1" x14ac:dyDescent="0.25">
      <c r="A163" s="92"/>
      <c r="B163" s="245"/>
      <c r="C163" s="114"/>
      <c r="D163" s="125"/>
      <c r="E163" s="125"/>
      <c r="F163" s="125"/>
      <c r="G163" s="126"/>
      <c r="H163" s="116">
        <f t="shared" ref="H163:H171" si="45">Q163</f>
        <v>1</v>
      </c>
      <c r="I163" s="110">
        <f t="shared" ref="I163:I171" si="46">G163*H163</f>
        <v>0</v>
      </c>
      <c r="J163" s="92"/>
      <c r="K163" s="118">
        <v>1</v>
      </c>
      <c r="L163" s="118">
        <v>1</v>
      </c>
      <c r="M163" s="118">
        <v>1</v>
      </c>
      <c r="N163" s="118">
        <v>1</v>
      </c>
      <c r="O163" s="118">
        <v>1</v>
      </c>
      <c r="P163" s="118">
        <v>1</v>
      </c>
      <c r="Q163" s="99">
        <f t="shared" ref="Q163:Q171" si="47">K163*L163*M163*N163*O163*P163</f>
        <v>1</v>
      </c>
      <c r="R163" s="92"/>
    </row>
    <row r="164" spans="1:18" ht="12.95" customHeight="1" x14ac:dyDescent="0.25">
      <c r="A164" s="92"/>
      <c r="B164" s="245"/>
      <c r="C164" s="114"/>
      <c r="D164" s="125"/>
      <c r="E164" s="125"/>
      <c r="F164" s="125"/>
      <c r="G164" s="126"/>
      <c r="H164" s="116">
        <f t="shared" si="45"/>
        <v>1</v>
      </c>
      <c r="I164" s="110">
        <f t="shared" si="46"/>
        <v>0</v>
      </c>
      <c r="J164" s="92"/>
      <c r="K164" s="118">
        <v>1</v>
      </c>
      <c r="L164" s="118">
        <v>1</v>
      </c>
      <c r="M164" s="118">
        <v>1</v>
      </c>
      <c r="N164" s="118">
        <v>1</v>
      </c>
      <c r="O164" s="118">
        <v>1</v>
      </c>
      <c r="P164" s="118">
        <v>1</v>
      </c>
      <c r="Q164" s="99">
        <f t="shared" si="47"/>
        <v>1</v>
      </c>
      <c r="R164" s="92"/>
    </row>
    <row r="165" spans="1:18" ht="12.95" customHeight="1" x14ac:dyDescent="0.25">
      <c r="A165" s="92"/>
      <c r="B165" s="245"/>
      <c r="C165" s="114"/>
      <c r="D165" s="125"/>
      <c r="E165" s="125"/>
      <c r="F165" s="125"/>
      <c r="G165" s="126"/>
      <c r="H165" s="116">
        <f t="shared" si="45"/>
        <v>1</v>
      </c>
      <c r="I165" s="110">
        <f t="shared" si="46"/>
        <v>0</v>
      </c>
      <c r="J165" s="92"/>
      <c r="K165" s="118">
        <v>1</v>
      </c>
      <c r="L165" s="118">
        <v>1</v>
      </c>
      <c r="M165" s="118">
        <v>1</v>
      </c>
      <c r="N165" s="118">
        <v>1</v>
      </c>
      <c r="O165" s="118">
        <v>1</v>
      </c>
      <c r="P165" s="118">
        <v>1</v>
      </c>
      <c r="Q165" s="99">
        <f t="shared" si="47"/>
        <v>1</v>
      </c>
      <c r="R165" s="92"/>
    </row>
    <row r="166" spans="1:18" ht="12.95" customHeight="1" x14ac:dyDescent="0.25">
      <c r="A166" s="92"/>
      <c r="B166" s="245"/>
      <c r="C166" s="114"/>
      <c r="D166" s="125"/>
      <c r="E166" s="125"/>
      <c r="F166" s="125"/>
      <c r="G166" s="126"/>
      <c r="H166" s="116">
        <f t="shared" si="45"/>
        <v>1</v>
      </c>
      <c r="I166" s="110">
        <f t="shared" si="46"/>
        <v>0</v>
      </c>
      <c r="J166" s="92"/>
      <c r="K166" s="118">
        <v>1</v>
      </c>
      <c r="L166" s="118">
        <v>1</v>
      </c>
      <c r="M166" s="118">
        <v>1</v>
      </c>
      <c r="N166" s="118">
        <v>1</v>
      </c>
      <c r="O166" s="118">
        <v>1</v>
      </c>
      <c r="P166" s="118">
        <v>1</v>
      </c>
      <c r="Q166" s="99">
        <f t="shared" si="47"/>
        <v>1</v>
      </c>
      <c r="R166" s="92"/>
    </row>
    <row r="167" spans="1:18" ht="12.95" customHeight="1" x14ac:dyDescent="0.25">
      <c r="A167" s="92"/>
      <c r="B167" s="245"/>
      <c r="C167" s="114"/>
      <c r="D167" s="125"/>
      <c r="E167" s="125"/>
      <c r="F167" s="125"/>
      <c r="G167" s="126"/>
      <c r="H167" s="116">
        <f t="shared" si="45"/>
        <v>1</v>
      </c>
      <c r="I167" s="110">
        <f t="shared" si="46"/>
        <v>0</v>
      </c>
      <c r="J167" s="92"/>
      <c r="K167" s="118">
        <v>1</v>
      </c>
      <c r="L167" s="118">
        <v>1</v>
      </c>
      <c r="M167" s="118">
        <v>1</v>
      </c>
      <c r="N167" s="118">
        <v>1</v>
      </c>
      <c r="O167" s="118">
        <v>1</v>
      </c>
      <c r="P167" s="118">
        <v>1</v>
      </c>
      <c r="Q167" s="99">
        <f t="shared" si="47"/>
        <v>1</v>
      </c>
      <c r="R167" s="92"/>
    </row>
    <row r="168" spans="1:18" ht="12.95" customHeight="1" x14ac:dyDescent="0.25">
      <c r="A168" s="92"/>
      <c r="B168" s="245"/>
      <c r="C168" s="114"/>
      <c r="D168" s="125"/>
      <c r="E168" s="125"/>
      <c r="F168" s="125"/>
      <c r="G168" s="126"/>
      <c r="H168" s="116">
        <f t="shared" si="45"/>
        <v>1</v>
      </c>
      <c r="I168" s="110">
        <f t="shared" si="46"/>
        <v>0</v>
      </c>
      <c r="J168" s="92"/>
      <c r="K168" s="118">
        <v>1</v>
      </c>
      <c r="L168" s="118">
        <v>1</v>
      </c>
      <c r="M168" s="118">
        <v>1</v>
      </c>
      <c r="N168" s="118">
        <v>1</v>
      </c>
      <c r="O168" s="118">
        <v>1</v>
      </c>
      <c r="P168" s="118">
        <v>1</v>
      </c>
      <c r="Q168" s="99">
        <f t="shared" si="47"/>
        <v>1</v>
      </c>
      <c r="R168" s="92"/>
    </row>
    <row r="169" spans="1:18" ht="12.95" customHeight="1" x14ac:dyDescent="0.25">
      <c r="A169" s="92"/>
      <c r="B169" s="245"/>
      <c r="C169" s="114"/>
      <c r="D169" s="125"/>
      <c r="E169" s="125"/>
      <c r="F169" s="125"/>
      <c r="G169" s="126"/>
      <c r="H169" s="116">
        <f t="shared" si="45"/>
        <v>1</v>
      </c>
      <c r="I169" s="110">
        <f t="shared" si="46"/>
        <v>0</v>
      </c>
      <c r="J169" s="92"/>
      <c r="K169" s="118">
        <v>1</v>
      </c>
      <c r="L169" s="118">
        <v>1</v>
      </c>
      <c r="M169" s="118">
        <v>1</v>
      </c>
      <c r="N169" s="118">
        <v>1</v>
      </c>
      <c r="O169" s="118">
        <v>1</v>
      </c>
      <c r="P169" s="118">
        <v>1</v>
      </c>
      <c r="Q169" s="99">
        <f t="shared" si="47"/>
        <v>1</v>
      </c>
      <c r="R169" s="92"/>
    </row>
    <row r="170" spans="1:18" ht="12.95" customHeight="1" x14ac:dyDescent="0.25">
      <c r="A170" s="92"/>
      <c r="B170" s="245"/>
      <c r="C170" s="114"/>
      <c r="D170" s="125"/>
      <c r="E170" s="125"/>
      <c r="F170" s="125"/>
      <c r="G170" s="126"/>
      <c r="H170" s="116">
        <f t="shared" si="45"/>
        <v>1</v>
      </c>
      <c r="I170" s="110">
        <f t="shared" si="46"/>
        <v>0</v>
      </c>
      <c r="J170" s="92"/>
      <c r="K170" s="118">
        <v>1</v>
      </c>
      <c r="L170" s="118">
        <v>1</v>
      </c>
      <c r="M170" s="118">
        <v>1</v>
      </c>
      <c r="N170" s="118">
        <v>1</v>
      </c>
      <c r="O170" s="118">
        <v>1</v>
      </c>
      <c r="P170" s="118">
        <v>1</v>
      </c>
      <c r="Q170" s="99">
        <f t="shared" si="47"/>
        <v>1</v>
      </c>
      <c r="R170" s="92"/>
    </row>
    <row r="171" spans="1:18" ht="12.95" customHeight="1" x14ac:dyDescent="0.25">
      <c r="A171" s="92"/>
      <c r="B171" s="245"/>
      <c r="C171" s="114"/>
      <c r="D171" s="125"/>
      <c r="E171" s="125"/>
      <c r="F171" s="125"/>
      <c r="G171" s="126"/>
      <c r="H171" s="116">
        <f t="shared" si="45"/>
        <v>1</v>
      </c>
      <c r="I171" s="110">
        <f t="shared" si="46"/>
        <v>0</v>
      </c>
      <c r="J171" s="92"/>
      <c r="K171" s="118">
        <v>1</v>
      </c>
      <c r="L171" s="118">
        <v>1</v>
      </c>
      <c r="M171" s="118">
        <v>1</v>
      </c>
      <c r="N171" s="118">
        <v>1</v>
      </c>
      <c r="O171" s="118">
        <v>1</v>
      </c>
      <c r="P171" s="118">
        <v>1</v>
      </c>
      <c r="Q171" s="99">
        <f t="shared" si="47"/>
        <v>1</v>
      </c>
      <c r="R171" s="92"/>
    </row>
    <row r="172" spans="1:18" ht="5.0999999999999996" customHeight="1" x14ac:dyDescent="0.25">
      <c r="A172" s="92"/>
      <c r="C172" s="123" t="s">
        <v>12</v>
      </c>
      <c r="G172" s="110"/>
      <c r="I172" s="110"/>
      <c r="J172" s="92"/>
      <c r="K172" s="100"/>
      <c r="L172" s="100"/>
      <c r="M172" s="100"/>
      <c r="N172" s="100"/>
      <c r="O172" s="100"/>
      <c r="P172" s="100"/>
      <c r="Q172" s="100"/>
      <c r="R172" s="92"/>
    </row>
    <row r="173" spans="1:18" ht="12.95" customHeight="1" x14ac:dyDescent="0.25">
      <c r="A173" s="92"/>
      <c r="B173" s="245" t="s">
        <v>83</v>
      </c>
      <c r="C173" s="129" t="s">
        <v>82</v>
      </c>
      <c r="D173" s="51"/>
      <c r="E173" s="51"/>
      <c r="F173" s="51"/>
      <c r="G173" s="52"/>
      <c r="H173" s="51"/>
      <c r="I173" s="52">
        <f>SUM(I175:I184)</f>
        <v>0</v>
      </c>
      <c r="J173" s="92"/>
      <c r="K173" s="130"/>
      <c r="L173" s="130"/>
      <c r="M173" s="130"/>
      <c r="N173" s="130"/>
      <c r="O173" s="130"/>
      <c r="P173" s="130"/>
      <c r="Q173" s="130"/>
      <c r="R173" s="92"/>
    </row>
    <row r="174" spans="1:18" ht="5.0999999999999996" customHeight="1" x14ac:dyDescent="0.25">
      <c r="A174" s="92"/>
      <c r="B174" s="245"/>
      <c r="G174" s="110"/>
      <c r="I174" s="110"/>
      <c r="J174" s="92"/>
      <c r="K174" s="100"/>
      <c r="L174" s="100"/>
      <c r="M174" s="100"/>
      <c r="N174" s="100"/>
      <c r="O174" s="100"/>
      <c r="P174" s="100"/>
      <c r="Q174" s="100"/>
      <c r="R174" s="92"/>
    </row>
    <row r="175" spans="1:18" ht="12.95" customHeight="1" x14ac:dyDescent="0.25">
      <c r="A175" s="92"/>
      <c r="B175" s="245"/>
      <c r="C175" s="114"/>
      <c r="D175" s="125"/>
      <c r="E175" s="125"/>
      <c r="F175" s="125"/>
      <c r="G175" s="126"/>
      <c r="H175" s="116">
        <f>Q175</f>
        <v>1</v>
      </c>
      <c r="I175" s="110">
        <f>G175*H175</f>
        <v>0</v>
      </c>
      <c r="J175" s="92"/>
      <c r="K175" s="118">
        <v>1</v>
      </c>
      <c r="L175" s="118">
        <v>1</v>
      </c>
      <c r="M175" s="118">
        <v>1</v>
      </c>
      <c r="N175" s="118">
        <v>1</v>
      </c>
      <c r="O175" s="118">
        <v>1</v>
      </c>
      <c r="P175" s="118">
        <v>1</v>
      </c>
      <c r="Q175" s="99">
        <f>K175*L175*M175*N175*O175*P175</f>
        <v>1</v>
      </c>
      <c r="R175" s="92"/>
    </row>
    <row r="176" spans="1:18" ht="12.95" customHeight="1" x14ac:dyDescent="0.25">
      <c r="A176" s="92"/>
      <c r="B176" s="245"/>
      <c r="C176" s="114"/>
      <c r="D176" s="125"/>
      <c r="E176" s="125"/>
      <c r="F176" s="125"/>
      <c r="G176" s="126"/>
      <c r="H176" s="116">
        <f t="shared" ref="H176:H184" si="48">Q176</f>
        <v>1</v>
      </c>
      <c r="I176" s="110">
        <f t="shared" ref="I176:I184" si="49">G176*H176</f>
        <v>0</v>
      </c>
      <c r="J176" s="92"/>
      <c r="K176" s="118">
        <v>1</v>
      </c>
      <c r="L176" s="118">
        <v>1</v>
      </c>
      <c r="M176" s="118">
        <v>1</v>
      </c>
      <c r="N176" s="118">
        <v>1</v>
      </c>
      <c r="O176" s="118">
        <v>1</v>
      </c>
      <c r="P176" s="118">
        <v>1</v>
      </c>
      <c r="Q176" s="99">
        <f t="shared" ref="Q176:Q184" si="50">K176*L176*M176*N176*O176*P176</f>
        <v>1</v>
      </c>
      <c r="R176" s="92"/>
    </row>
    <row r="177" spans="1:18" ht="12.95" customHeight="1" x14ac:dyDescent="0.25">
      <c r="A177" s="92"/>
      <c r="B177" s="245"/>
      <c r="C177" s="114"/>
      <c r="D177" s="125"/>
      <c r="E177" s="125"/>
      <c r="F177" s="125"/>
      <c r="G177" s="126"/>
      <c r="H177" s="116">
        <f t="shared" si="48"/>
        <v>1</v>
      </c>
      <c r="I177" s="110">
        <f t="shared" si="49"/>
        <v>0</v>
      </c>
      <c r="J177" s="92"/>
      <c r="K177" s="118">
        <v>1</v>
      </c>
      <c r="L177" s="118">
        <v>1</v>
      </c>
      <c r="M177" s="118">
        <v>1</v>
      </c>
      <c r="N177" s="118">
        <v>1</v>
      </c>
      <c r="O177" s="118">
        <v>1</v>
      </c>
      <c r="P177" s="118">
        <v>1</v>
      </c>
      <c r="Q177" s="99">
        <f t="shared" si="50"/>
        <v>1</v>
      </c>
      <c r="R177" s="92"/>
    </row>
    <row r="178" spans="1:18" ht="12.95" customHeight="1" x14ac:dyDescent="0.25">
      <c r="A178" s="92"/>
      <c r="B178" s="245"/>
      <c r="C178" s="114"/>
      <c r="D178" s="125"/>
      <c r="E178" s="125"/>
      <c r="F178" s="125"/>
      <c r="G178" s="126"/>
      <c r="H178" s="116">
        <f t="shared" si="48"/>
        <v>1</v>
      </c>
      <c r="I178" s="110">
        <f t="shared" si="49"/>
        <v>0</v>
      </c>
      <c r="J178" s="92"/>
      <c r="K178" s="118">
        <v>1</v>
      </c>
      <c r="L178" s="118">
        <v>1</v>
      </c>
      <c r="M178" s="118">
        <v>1</v>
      </c>
      <c r="N178" s="118">
        <v>1</v>
      </c>
      <c r="O178" s="118">
        <v>1</v>
      </c>
      <c r="P178" s="118">
        <v>1</v>
      </c>
      <c r="Q178" s="99">
        <f t="shared" si="50"/>
        <v>1</v>
      </c>
      <c r="R178" s="92"/>
    </row>
    <row r="179" spans="1:18" ht="12.95" customHeight="1" x14ac:dyDescent="0.25">
      <c r="A179" s="92"/>
      <c r="B179" s="245"/>
      <c r="C179" s="114"/>
      <c r="D179" s="125"/>
      <c r="E179" s="125"/>
      <c r="F179" s="125"/>
      <c r="G179" s="126"/>
      <c r="H179" s="116">
        <f t="shared" si="48"/>
        <v>1</v>
      </c>
      <c r="I179" s="110">
        <f t="shared" si="49"/>
        <v>0</v>
      </c>
      <c r="J179" s="92"/>
      <c r="K179" s="118">
        <v>1</v>
      </c>
      <c r="L179" s="118">
        <v>1</v>
      </c>
      <c r="M179" s="118">
        <v>1</v>
      </c>
      <c r="N179" s="118">
        <v>1</v>
      </c>
      <c r="O179" s="118">
        <v>1</v>
      </c>
      <c r="P179" s="118">
        <v>1</v>
      </c>
      <c r="Q179" s="99">
        <f t="shared" si="50"/>
        <v>1</v>
      </c>
      <c r="R179" s="92"/>
    </row>
    <row r="180" spans="1:18" ht="12.95" customHeight="1" x14ac:dyDescent="0.25">
      <c r="A180" s="92"/>
      <c r="B180" s="245"/>
      <c r="C180" s="114"/>
      <c r="D180" s="125"/>
      <c r="E180" s="125"/>
      <c r="F180" s="125"/>
      <c r="G180" s="126"/>
      <c r="H180" s="116">
        <f t="shared" si="48"/>
        <v>1</v>
      </c>
      <c r="I180" s="110">
        <f t="shared" si="49"/>
        <v>0</v>
      </c>
      <c r="J180" s="92"/>
      <c r="K180" s="118">
        <v>1</v>
      </c>
      <c r="L180" s="118">
        <v>1</v>
      </c>
      <c r="M180" s="118">
        <v>1</v>
      </c>
      <c r="N180" s="118">
        <v>1</v>
      </c>
      <c r="O180" s="118">
        <v>1</v>
      </c>
      <c r="P180" s="118">
        <v>1</v>
      </c>
      <c r="Q180" s="99">
        <f t="shared" si="50"/>
        <v>1</v>
      </c>
      <c r="R180" s="92"/>
    </row>
    <row r="181" spans="1:18" ht="12.95" customHeight="1" x14ac:dyDescent="0.25">
      <c r="A181" s="92"/>
      <c r="B181" s="245"/>
      <c r="C181" s="114"/>
      <c r="D181" s="125"/>
      <c r="E181" s="125"/>
      <c r="F181" s="125"/>
      <c r="G181" s="126"/>
      <c r="H181" s="116">
        <f t="shared" si="48"/>
        <v>1</v>
      </c>
      <c r="I181" s="110">
        <f t="shared" si="49"/>
        <v>0</v>
      </c>
      <c r="J181" s="92"/>
      <c r="K181" s="118">
        <v>1</v>
      </c>
      <c r="L181" s="118">
        <v>1</v>
      </c>
      <c r="M181" s="118">
        <v>1</v>
      </c>
      <c r="N181" s="118">
        <v>1</v>
      </c>
      <c r="O181" s="118">
        <v>1</v>
      </c>
      <c r="P181" s="118">
        <v>1</v>
      </c>
      <c r="Q181" s="99">
        <f t="shared" si="50"/>
        <v>1</v>
      </c>
      <c r="R181" s="92"/>
    </row>
    <row r="182" spans="1:18" ht="12.95" customHeight="1" x14ac:dyDescent="0.25">
      <c r="A182" s="92"/>
      <c r="B182" s="245"/>
      <c r="C182" s="114"/>
      <c r="D182" s="125"/>
      <c r="E182" s="125"/>
      <c r="F182" s="125"/>
      <c r="G182" s="126"/>
      <c r="H182" s="116">
        <f t="shared" si="48"/>
        <v>1</v>
      </c>
      <c r="I182" s="110">
        <f t="shared" si="49"/>
        <v>0</v>
      </c>
      <c r="J182" s="92"/>
      <c r="K182" s="118">
        <v>1</v>
      </c>
      <c r="L182" s="118">
        <v>1</v>
      </c>
      <c r="M182" s="118">
        <v>1</v>
      </c>
      <c r="N182" s="118">
        <v>1</v>
      </c>
      <c r="O182" s="118">
        <v>1</v>
      </c>
      <c r="P182" s="118">
        <v>1</v>
      </c>
      <c r="Q182" s="99">
        <f t="shared" si="50"/>
        <v>1</v>
      </c>
      <c r="R182" s="92"/>
    </row>
    <row r="183" spans="1:18" ht="12.95" customHeight="1" x14ac:dyDescent="0.25">
      <c r="A183" s="92"/>
      <c r="B183" s="245"/>
      <c r="C183" s="114"/>
      <c r="D183" s="125"/>
      <c r="E183" s="125"/>
      <c r="F183" s="125"/>
      <c r="G183" s="126"/>
      <c r="H183" s="116">
        <f t="shared" si="48"/>
        <v>1</v>
      </c>
      <c r="I183" s="110">
        <f t="shared" si="49"/>
        <v>0</v>
      </c>
      <c r="J183" s="92"/>
      <c r="K183" s="118">
        <v>1</v>
      </c>
      <c r="L183" s="118">
        <v>1</v>
      </c>
      <c r="M183" s="118">
        <v>1</v>
      </c>
      <c r="N183" s="118">
        <v>1</v>
      </c>
      <c r="O183" s="118">
        <v>1</v>
      </c>
      <c r="P183" s="118">
        <v>1</v>
      </c>
      <c r="Q183" s="99">
        <f t="shared" si="50"/>
        <v>1</v>
      </c>
      <c r="R183" s="92"/>
    </row>
    <row r="184" spans="1:18" ht="12.95" customHeight="1" x14ac:dyDescent="0.25">
      <c r="A184" s="92"/>
      <c r="B184" s="245"/>
      <c r="C184" s="114"/>
      <c r="D184" s="125"/>
      <c r="E184" s="125"/>
      <c r="F184" s="125"/>
      <c r="G184" s="126"/>
      <c r="H184" s="116">
        <f t="shared" si="48"/>
        <v>1</v>
      </c>
      <c r="I184" s="110">
        <f t="shared" si="49"/>
        <v>0</v>
      </c>
      <c r="J184" s="92"/>
      <c r="K184" s="118">
        <v>1</v>
      </c>
      <c r="L184" s="118">
        <v>1</v>
      </c>
      <c r="M184" s="118">
        <v>1</v>
      </c>
      <c r="N184" s="118">
        <v>1</v>
      </c>
      <c r="O184" s="118">
        <v>1</v>
      </c>
      <c r="P184" s="118">
        <v>1</v>
      </c>
      <c r="Q184" s="99">
        <f t="shared" si="50"/>
        <v>1</v>
      </c>
      <c r="R184" s="92"/>
    </row>
    <row r="185" spans="1:18" ht="5.0999999999999996" customHeight="1" x14ac:dyDescent="0.25">
      <c r="A185" s="92"/>
      <c r="C185" s="114" t="s">
        <v>12</v>
      </c>
      <c r="D185" s="125"/>
      <c r="E185" s="125"/>
      <c r="F185" s="125"/>
      <c r="G185" s="126"/>
      <c r="I185" s="110"/>
      <c r="J185" s="92"/>
      <c r="K185" s="100"/>
      <c r="L185" s="100"/>
      <c r="M185" s="100"/>
      <c r="N185" s="100"/>
      <c r="O185" s="100"/>
      <c r="P185" s="100"/>
      <c r="Q185" s="100"/>
      <c r="R185" s="92"/>
    </row>
    <row r="186" spans="1:18" ht="12.95" customHeight="1" x14ac:dyDescent="0.25">
      <c r="A186" s="92"/>
      <c r="B186" s="47" t="s">
        <v>84</v>
      </c>
      <c r="C186" s="48" t="s">
        <v>85</v>
      </c>
      <c r="D186" s="49"/>
      <c r="E186" s="49"/>
      <c r="F186" s="49"/>
      <c r="G186" s="50"/>
      <c r="H186" s="49"/>
      <c r="I186" s="50"/>
      <c r="J186" s="92"/>
      <c r="K186" s="128"/>
      <c r="L186" s="128"/>
      <c r="M186" s="128"/>
      <c r="N186" s="128"/>
      <c r="O186" s="128"/>
      <c r="P186" s="128"/>
      <c r="Q186" s="128"/>
      <c r="R186" s="92"/>
    </row>
    <row r="187" spans="1:18" ht="5.0999999999999996" customHeight="1" x14ac:dyDescent="0.25">
      <c r="A187" s="92"/>
      <c r="G187" s="110"/>
      <c r="I187" s="110"/>
      <c r="J187" s="92"/>
      <c r="K187" s="100"/>
      <c r="L187" s="100"/>
      <c r="M187" s="100"/>
      <c r="N187" s="100"/>
      <c r="O187" s="100"/>
      <c r="P187" s="100"/>
      <c r="Q187" s="100"/>
      <c r="R187" s="92"/>
    </row>
    <row r="188" spans="1:18" ht="12.95" customHeight="1" x14ac:dyDescent="0.25">
      <c r="A188" s="92"/>
      <c r="B188" s="245" t="s">
        <v>86</v>
      </c>
      <c r="C188" s="129" t="s">
        <v>87</v>
      </c>
      <c r="D188" s="51"/>
      <c r="E188" s="51"/>
      <c r="F188" s="51"/>
      <c r="G188" s="52"/>
      <c r="H188" s="51"/>
      <c r="I188" s="52">
        <f>SUM(I190:I199)</f>
        <v>0</v>
      </c>
      <c r="J188" s="92"/>
      <c r="K188" s="130"/>
      <c r="L188" s="130"/>
      <c r="M188" s="130"/>
      <c r="N188" s="130"/>
      <c r="O188" s="130"/>
      <c r="P188" s="130"/>
      <c r="Q188" s="130"/>
      <c r="R188" s="92"/>
    </row>
    <row r="189" spans="1:18" ht="5.0999999999999996" customHeight="1" x14ac:dyDescent="0.25">
      <c r="A189" s="92"/>
      <c r="B189" s="245"/>
      <c r="G189" s="110"/>
      <c r="I189" s="110"/>
      <c r="J189" s="92"/>
      <c r="K189" s="100"/>
      <c r="L189" s="100"/>
      <c r="M189" s="100"/>
      <c r="N189" s="100"/>
      <c r="O189" s="100"/>
      <c r="P189" s="100"/>
      <c r="Q189" s="100"/>
      <c r="R189" s="92"/>
    </row>
    <row r="190" spans="1:18" ht="12.95" customHeight="1" x14ac:dyDescent="0.25">
      <c r="A190" s="92"/>
      <c r="B190" s="245"/>
      <c r="C190" s="114"/>
      <c r="D190" s="125"/>
      <c r="E190" s="125"/>
      <c r="F190" s="125"/>
      <c r="G190" s="126"/>
      <c r="H190" s="116">
        <f>Q190</f>
        <v>1</v>
      </c>
      <c r="I190" s="110">
        <f>G190*H190</f>
        <v>0</v>
      </c>
      <c r="J190" s="92"/>
      <c r="K190" s="118">
        <v>1</v>
      </c>
      <c r="L190" s="118">
        <v>1</v>
      </c>
      <c r="M190" s="118">
        <v>1</v>
      </c>
      <c r="N190" s="118">
        <v>1</v>
      </c>
      <c r="O190" s="118">
        <v>1</v>
      </c>
      <c r="P190" s="118">
        <v>1</v>
      </c>
      <c r="Q190" s="99">
        <f>K190*L190*M190*N190*O190*P190</f>
        <v>1</v>
      </c>
      <c r="R190" s="92"/>
    </row>
    <row r="191" spans="1:18" ht="12.95" customHeight="1" x14ac:dyDescent="0.25">
      <c r="A191" s="92"/>
      <c r="B191" s="245"/>
      <c r="C191" s="114"/>
      <c r="D191" s="125"/>
      <c r="E191" s="125"/>
      <c r="F191" s="125"/>
      <c r="G191" s="126"/>
      <c r="H191" s="116">
        <f t="shared" ref="H191:H199" si="51">Q191</f>
        <v>1</v>
      </c>
      <c r="I191" s="110">
        <f t="shared" ref="I191:I199" si="52">G191*H191</f>
        <v>0</v>
      </c>
      <c r="J191" s="92"/>
      <c r="K191" s="118">
        <v>1</v>
      </c>
      <c r="L191" s="118">
        <v>1</v>
      </c>
      <c r="M191" s="118">
        <v>1</v>
      </c>
      <c r="N191" s="118">
        <v>1</v>
      </c>
      <c r="O191" s="118">
        <v>1</v>
      </c>
      <c r="P191" s="118">
        <v>1</v>
      </c>
      <c r="Q191" s="99">
        <f t="shared" ref="Q191:Q199" si="53">K191*L191*M191*N191*O191*P191</f>
        <v>1</v>
      </c>
      <c r="R191" s="92"/>
    </row>
    <row r="192" spans="1:18" ht="12.95" customHeight="1" x14ac:dyDescent="0.25">
      <c r="A192" s="92"/>
      <c r="B192" s="245"/>
      <c r="C192" s="114"/>
      <c r="D192" s="125"/>
      <c r="E192" s="125"/>
      <c r="F192" s="125"/>
      <c r="G192" s="126"/>
      <c r="H192" s="116">
        <f t="shared" si="51"/>
        <v>1</v>
      </c>
      <c r="I192" s="110">
        <f t="shared" si="52"/>
        <v>0</v>
      </c>
      <c r="J192" s="92"/>
      <c r="K192" s="118">
        <v>1</v>
      </c>
      <c r="L192" s="118">
        <v>1</v>
      </c>
      <c r="M192" s="118">
        <v>1</v>
      </c>
      <c r="N192" s="118">
        <v>1</v>
      </c>
      <c r="O192" s="118">
        <v>1</v>
      </c>
      <c r="P192" s="118">
        <v>1</v>
      </c>
      <c r="Q192" s="99">
        <f t="shared" si="53"/>
        <v>1</v>
      </c>
      <c r="R192" s="92"/>
    </row>
    <row r="193" spans="1:18" ht="12.95" customHeight="1" x14ac:dyDescent="0.25">
      <c r="A193" s="92"/>
      <c r="B193" s="245"/>
      <c r="C193" s="114"/>
      <c r="D193" s="125"/>
      <c r="E193" s="125"/>
      <c r="F193" s="125"/>
      <c r="G193" s="126"/>
      <c r="H193" s="116">
        <f t="shared" si="51"/>
        <v>1</v>
      </c>
      <c r="I193" s="110">
        <f t="shared" si="52"/>
        <v>0</v>
      </c>
      <c r="J193" s="92"/>
      <c r="K193" s="118">
        <v>1</v>
      </c>
      <c r="L193" s="118">
        <v>1</v>
      </c>
      <c r="M193" s="118">
        <v>1</v>
      </c>
      <c r="N193" s="118">
        <v>1</v>
      </c>
      <c r="O193" s="118">
        <v>1</v>
      </c>
      <c r="P193" s="118">
        <v>1</v>
      </c>
      <c r="Q193" s="99">
        <f t="shared" si="53"/>
        <v>1</v>
      </c>
      <c r="R193" s="92"/>
    </row>
    <row r="194" spans="1:18" ht="12.95" customHeight="1" x14ac:dyDescent="0.25">
      <c r="A194" s="92"/>
      <c r="B194" s="245"/>
      <c r="C194" s="114"/>
      <c r="D194" s="125"/>
      <c r="E194" s="125"/>
      <c r="F194" s="125"/>
      <c r="G194" s="126"/>
      <c r="H194" s="116">
        <f t="shared" si="51"/>
        <v>1</v>
      </c>
      <c r="I194" s="110">
        <f t="shared" si="52"/>
        <v>0</v>
      </c>
      <c r="J194" s="92"/>
      <c r="K194" s="118">
        <v>1</v>
      </c>
      <c r="L194" s="118">
        <v>1</v>
      </c>
      <c r="M194" s="118">
        <v>1</v>
      </c>
      <c r="N194" s="118">
        <v>1</v>
      </c>
      <c r="O194" s="118">
        <v>1</v>
      </c>
      <c r="P194" s="118">
        <v>1</v>
      </c>
      <c r="Q194" s="99">
        <f t="shared" si="53"/>
        <v>1</v>
      </c>
      <c r="R194" s="92"/>
    </row>
    <row r="195" spans="1:18" ht="12.95" customHeight="1" x14ac:dyDescent="0.25">
      <c r="A195" s="92"/>
      <c r="B195" s="245"/>
      <c r="C195" s="114"/>
      <c r="D195" s="125"/>
      <c r="E195" s="125"/>
      <c r="F195" s="125"/>
      <c r="G195" s="126"/>
      <c r="H195" s="116">
        <f t="shared" si="51"/>
        <v>1</v>
      </c>
      <c r="I195" s="110">
        <f t="shared" si="52"/>
        <v>0</v>
      </c>
      <c r="J195" s="92"/>
      <c r="K195" s="118">
        <v>1</v>
      </c>
      <c r="L195" s="118">
        <v>1</v>
      </c>
      <c r="M195" s="118">
        <v>1</v>
      </c>
      <c r="N195" s="118">
        <v>1</v>
      </c>
      <c r="O195" s="118">
        <v>1</v>
      </c>
      <c r="P195" s="118">
        <v>1</v>
      </c>
      <c r="Q195" s="99">
        <f t="shared" si="53"/>
        <v>1</v>
      </c>
      <c r="R195" s="92"/>
    </row>
    <row r="196" spans="1:18" ht="12.95" customHeight="1" x14ac:dyDescent="0.25">
      <c r="A196" s="92"/>
      <c r="B196" s="245"/>
      <c r="C196" s="114"/>
      <c r="D196" s="125"/>
      <c r="E196" s="125"/>
      <c r="F196" s="125"/>
      <c r="G196" s="126"/>
      <c r="H196" s="116">
        <f t="shared" si="51"/>
        <v>1</v>
      </c>
      <c r="I196" s="110">
        <f t="shared" si="52"/>
        <v>0</v>
      </c>
      <c r="J196" s="92"/>
      <c r="K196" s="118">
        <v>1</v>
      </c>
      <c r="L196" s="118">
        <v>1</v>
      </c>
      <c r="M196" s="118">
        <v>1</v>
      </c>
      <c r="N196" s="118">
        <v>1</v>
      </c>
      <c r="O196" s="118">
        <v>1</v>
      </c>
      <c r="P196" s="118">
        <v>1</v>
      </c>
      <c r="Q196" s="99">
        <f t="shared" si="53"/>
        <v>1</v>
      </c>
      <c r="R196" s="92"/>
    </row>
    <row r="197" spans="1:18" ht="12.95" customHeight="1" x14ac:dyDescent="0.25">
      <c r="A197" s="92"/>
      <c r="B197" s="245"/>
      <c r="C197" s="114"/>
      <c r="D197" s="125"/>
      <c r="E197" s="125"/>
      <c r="F197" s="125"/>
      <c r="G197" s="126"/>
      <c r="H197" s="116">
        <f t="shared" si="51"/>
        <v>1</v>
      </c>
      <c r="I197" s="110">
        <f t="shared" si="52"/>
        <v>0</v>
      </c>
      <c r="J197" s="92"/>
      <c r="K197" s="118">
        <v>1</v>
      </c>
      <c r="L197" s="118">
        <v>1</v>
      </c>
      <c r="M197" s="118">
        <v>1</v>
      </c>
      <c r="N197" s="118">
        <v>1</v>
      </c>
      <c r="O197" s="118">
        <v>1</v>
      </c>
      <c r="P197" s="118">
        <v>1</v>
      </c>
      <c r="Q197" s="99">
        <f t="shared" si="53"/>
        <v>1</v>
      </c>
      <c r="R197" s="92"/>
    </row>
    <row r="198" spans="1:18" ht="12.95" customHeight="1" x14ac:dyDescent="0.25">
      <c r="A198" s="92"/>
      <c r="B198" s="245"/>
      <c r="C198" s="114"/>
      <c r="D198" s="125"/>
      <c r="E198" s="125"/>
      <c r="F198" s="125"/>
      <c r="G198" s="126"/>
      <c r="H198" s="116">
        <f t="shared" si="51"/>
        <v>1</v>
      </c>
      <c r="I198" s="110">
        <f t="shared" si="52"/>
        <v>0</v>
      </c>
      <c r="J198" s="92"/>
      <c r="K198" s="118">
        <v>1</v>
      </c>
      <c r="L198" s="118">
        <v>1</v>
      </c>
      <c r="M198" s="118">
        <v>1</v>
      </c>
      <c r="N198" s="118">
        <v>1</v>
      </c>
      <c r="O198" s="118">
        <v>1</v>
      </c>
      <c r="P198" s="118">
        <v>1</v>
      </c>
      <c r="Q198" s="99">
        <f t="shared" si="53"/>
        <v>1</v>
      </c>
      <c r="R198" s="92"/>
    </row>
    <row r="199" spans="1:18" ht="12.95" customHeight="1" x14ac:dyDescent="0.25">
      <c r="A199" s="92"/>
      <c r="B199" s="245"/>
      <c r="C199" s="114"/>
      <c r="D199" s="125"/>
      <c r="E199" s="125"/>
      <c r="F199" s="125"/>
      <c r="G199" s="126"/>
      <c r="H199" s="116">
        <f t="shared" si="51"/>
        <v>1</v>
      </c>
      <c r="I199" s="110">
        <f t="shared" si="52"/>
        <v>0</v>
      </c>
      <c r="J199" s="92"/>
      <c r="K199" s="118">
        <v>1</v>
      </c>
      <c r="L199" s="118">
        <v>1</v>
      </c>
      <c r="M199" s="118">
        <v>1</v>
      </c>
      <c r="N199" s="118">
        <v>1</v>
      </c>
      <c r="O199" s="118">
        <v>1</v>
      </c>
      <c r="P199" s="118">
        <v>1</v>
      </c>
      <c r="Q199" s="99">
        <f t="shared" si="53"/>
        <v>1</v>
      </c>
      <c r="R199" s="92"/>
    </row>
    <row r="200" spans="1:18" ht="5.0999999999999996" customHeight="1" x14ac:dyDescent="0.25">
      <c r="A200" s="92"/>
      <c r="C200" s="123" t="s">
        <v>12</v>
      </c>
      <c r="G200" s="110"/>
      <c r="I200" s="110"/>
      <c r="J200" s="92"/>
      <c r="K200" s="100"/>
      <c r="L200" s="100"/>
      <c r="M200" s="100"/>
      <c r="N200" s="100"/>
      <c r="O200" s="100"/>
      <c r="P200" s="100"/>
      <c r="Q200" s="100"/>
      <c r="R200" s="92"/>
    </row>
    <row r="201" spans="1:18" ht="12.95" customHeight="1" x14ac:dyDescent="0.25">
      <c r="A201" s="92"/>
      <c r="B201" s="245" t="s">
        <v>89</v>
      </c>
      <c r="C201" s="129" t="s">
        <v>88</v>
      </c>
      <c r="D201" s="51"/>
      <c r="E201" s="51"/>
      <c r="F201" s="51"/>
      <c r="G201" s="52"/>
      <c r="H201" s="51"/>
      <c r="I201" s="52">
        <f>SUM(I203:I212)</f>
        <v>0</v>
      </c>
      <c r="J201" s="92"/>
      <c r="K201" s="130"/>
      <c r="L201" s="130"/>
      <c r="M201" s="130"/>
      <c r="N201" s="130"/>
      <c r="O201" s="130"/>
      <c r="P201" s="130"/>
      <c r="Q201" s="130"/>
      <c r="R201" s="92"/>
    </row>
    <row r="202" spans="1:18" ht="5.0999999999999996" customHeight="1" x14ac:dyDescent="0.25">
      <c r="A202" s="92"/>
      <c r="B202" s="245"/>
      <c r="G202" s="110"/>
      <c r="I202" s="110"/>
      <c r="J202" s="92"/>
      <c r="K202" s="100"/>
      <c r="L202" s="100"/>
      <c r="M202" s="100"/>
      <c r="N202" s="100"/>
      <c r="O202" s="100"/>
      <c r="P202" s="100"/>
      <c r="Q202" s="100"/>
      <c r="R202" s="92"/>
    </row>
    <row r="203" spans="1:18" ht="12.95" customHeight="1" x14ac:dyDescent="0.25">
      <c r="A203" s="92"/>
      <c r="B203" s="245"/>
      <c r="C203" s="114"/>
      <c r="D203" s="125"/>
      <c r="E203" s="125"/>
      <c r="F203" s="125"/>
      <c r="G203" s="126"/>
      <c r="H203" s="116">
        <f>Q203</f>
        <v>1</v>
      </c>
      <c r="I203" s="110">
        <f>G203*H203</f>
        <v>0</v>
      </c>
      <c r="J203" s="92"/>
      <c r="K203" s="118">
        <v>1</v>
      </c>
      <c r="L203" s="118">
        <v>1</v>
      </c>
      <c r="M203" s="118">
        <v>1</v>
      </c>
      <c r="N203" s="118">
        <v>1</v>
      </c>
      <c r="O203" s="118">
        <v>1</v>
      </c>
      <c r="P203" s="118">
        <v>1</v>
      </c>
      <c r="Q203" s="99">
        <f>K203*L203*M203*N203*O203*P203</f>
        <v>1</v>
      </c>
      <c r="R203" s="92"/>
    </row>
    <row r="204" spans="1:18" ht="12.95" customHeight="1" x14ac:dyDescent="0.25">
      <c r="A204" s="92"/>
      <c r="B204" s="245"/>
      <c r="C204" s="114"/>
      <c r="D204" s="125"/>
      <c r="E204" s="125"/>
      <c r="F204" s="125"/>
      <c r="G204" s="126"/>
      <c r="H204" s="116">
        <f t="shared" ref="H204:H212" si="54">Q204</f>
        <v>1</v>
      </c>
      <c r="I204" s="110">
        <f t="shared" ref="I204:I212" si="55">G204*H204</f>
        <v>0</v>
      </c>
      <c r="J204" s="92"/>
      <c r="K204" s="118">
        <v>1</v>
      </c>
      <c r="L204" s="118">
        <v>1</v>
      </c>
      <c r="M204" s="118">
        <v>1</v>
      </c>
      <c r="N204" s="118">
        <v>1</v>
      </c>
      <c r="O204" s="118">
        <v>1</v>
      </c>
      <c r="P204" s="118">
        <v>1</v>
      </c>
      <c r="Q204" s="99">
        <f t="shared" ref="Q204:Q212" si="56">K204*L204*M204*N204*O204*P204</f>
        <v>1</v>
      </c>
      <c r="R204" s="92"/>
    </row>
    <row r="205" spans="1:18" ht="12.95" customHeight="1" x14ac:dyDescent="0.25">
      <c r="A205" s="92"/>
      <c r="B205" s="245"/>
      <c r="C205" s="114"/>
      <c r="D205" s="125"/>
      <c r="E205" s="125"/>
      <c r="F205" s="125"/>
      <c r="G205" s="126"/>
      <c r="H205" s="116">
        <f t="shared" si="54"/>
        <v>1</v>
      </c>
      <c r="I205" s="110">
        <f t="shared" si="55"/>
        <v>0</v>
      </c>
      <c r="J205" s="92"/>
      <c r="K205" s="118">
        <v>1</v>
      </c>
      <c r="L205" s="118">
        <v>1</v>
      </c>
      <c r="M205" s="118">
        <v>1</v>
      </c>
      <c r="N205" s="118">
        <v>1</v>
      </c>
      <c r="O205" s="118">
        <v>1</v>
      </c>
      <c r="P205" s="118">
        <v>1</v>
      </c>
      <c r="Q205" s="99">
        <f t="shared" si="56"/>
        <v>1</v>
      </c>
      <c r="R205" s="92"/>
    </row>
    <row r="206" spans="1:18" ht="12.95" customHeight="1" x14ac:dyDescent="0.25">
      <c r="A206" s="92"/>
      <c r="B206" s="245"/>
      <c r="C206" s="114"/>
      <c r="D206" s="125"/>
      <c r="E206" s="125"/>
      <c r="F206" s="125"/>
      <c r="G206" s="126"/>
      <c r="H206" s="116">
        <f t="shared" si="54"/>
        <v>1</v>
      </c>
      <c r="I206" s="110">
        <f t="shared" si="55"/>
        <v>0</v>
      </c>
      <c r="J206" s="92"/>
      <c r="K206" s="118">
        <v>1</v>
      </c>
      <c r="L206" s="118">
        <v>1</v>
      </c>
      <c r="M206" s="118">
        <v>1</v>
      </c>
      <c r="N206" s="118">
        <v>1</v>
      </c>
      <c r="O206" s="118">
        <v>1</v>
      </c>
      <c r="P206" s="118">
        <v>1</v>
      </c>
      <c r="Q206" s="99">
        <f t="shared" si="56"/>
        <v>1</v>
      </c>
      <c r="R206" s="92"/>
    </row>
    <row r="207" spans="1:18" ht="12.95" customHeight="1" x14ac:dyDescent="0.25">
      <c r="A207" s="92"/>
      <c r="B207" s="245"/>
      <c r="C207" s="114"/>
      <c r="D207" s="125"/>
      <c r="E207" s="125"/>
      <c r="F207" s="125"/>
      <c r="G207" s="126"/>
      <c r="H207" s="116">
        <f t="shared" si="54"/>
        <v>1</v>
      </c>
      <c r="I207" s="110">
        <f t="shared" si="55"/>
        <v>0</v>
      </c>
      <c r="J207" s="92"/>
      <c r="K207" s="118">
        <v>1</v>
      </c>
      <c r="L207" s="118">
        <v>1</v>
      </c>
      <c r="M207" s="118">
        <v>1</v>
      </c>
      <c r="N207" s="118">
        <v>1</v>
      </c>
      <c r="O207" s="118">
        <v>1</v>
      </c>
      <c r="P207" s="118">
        <v>1</v>
      </c>
      <c r="Q207" s="99">
        <f t="shared" si="56"/>
        <v>1</v>
      </c>
      <c r="R207" s="92"/>
    </row>
    <row r="208" spans="1:18" ht="12.95" customHeight="1" x14ac:dyDescent="0.25">
      <c r="A208" s="92"/>
      <c r="B208" s="245"/>
      <c r="C208" s="114"/>
      <c r="D208" s="125"/>
      <c r="E208" s="125"/>
      <c r="F208" s="125"/>
      <c r="G208" s="126"/>
      <c r="H208" s="116">
        <f t="shared" si="54"/>
        <v>1</v>
      </c>
      <c r="I208" s="110">
        <f t="shared" si="55"/>
        <v>0</v>
      </c>
      <c r="J208" s="92"/>
      <c r="K208" s="118">
        <v>1</v>
      </c>
      <c r="L208" s="118">
        <v>1</v>
      </c>
      <c r="M208" s="118">
        <v>1</v>
      </c>
      <c r="N208" s="118">
        <v>1</v>
      </c>
      <c r="O208" s="118">
        <v>1</v>
      </c>
      <c r="P208" s="118">
        <v>1</v>
      </c>
      <c r="Q208" s="99">
        <f t="shared" si="56"/>
        <v>1</v>
      </c>
      <c r="R208" s="92"/>
    </row>
    <row r="209" spans="1:18" ht="12.95" customHeight="1" x14ac:dyDescent="0.25">
      <c r="A209" s="92"/>
      <c r="B209" s="245"/>
      <c r="C209" s="114"/>
      <c r="D209" s="125"/>
      <c r="E209" s="125"/>
      <c r="F209" s="125"/>
      <c r="G209" s="126"/>
      <c r="H209" s="116">
        <f t="shared" si="54"/>
        <v>1</v>
      </c>
      <c r="I209" s="110">
        <f t="shared" si="55"/>
        <v>0</v>
      </c>
      <c r="J209" s="92"/>
      <c r="K209" s="118">
        <v>1</v>
      </c>
      <c r="L209" s="118">
        <v>1</v>
      </c>
      <c r="M209" s="118">
        <v>1</v>
      </c>
      <c r="N209" s="118">
        <v>1</v>
      </c>
      <c r="O209" s="118">
        <v>1</v>
      </c>
      <c r="P209" s="118">
        <v>1</v>
      </c>
      <c r="Q209" s="99">
        <f t="shared" si="56"/>
        <v>1</v>
      </c>
      <c r="R209" s="92"/>
    </row>
    <row r="210" spans="1:18" ht="12.95" customHeight="1" x14ac:dyDescent="0.25">
      <c r="A210" s="92"/>
      <c r="B210" s="245"/>
      <c r="C210" s="114"/>
      <c r="D210" s="125"/>
      <c r="E210" s="125"/>
      <c r="F210" s="125"/>
      <c r="G210" s="126"/>
      <c r="H210" s="116">
        <f t="shared" si="54"/>
        <v>1</v>
      </c>
      <c r="I210" s="110">
        <f t="shared" si="55"/>
        <v>0</v>
      </c>
      <c r="J210" s="92"/>
      <c r="K210" s="118">
        <v>1</v>
      </c>
      <c r="L210" s="118">
        <v>1</v>
      </c>
      <c r="M210" s="118">
        <v>1</v>
      </c>
      <c r="N210" s="118">
        <v>1</v>
      </c>
      <c r="O210" s="118">
        <v>1</v>
      </c>
      <c r="P210" s="118">
        <v>1</v>
      </c>
      <c r="Q210" s="99">
        <f t="shared" si="56"/>
        <v>1</v>
      </c>
      <c r="R210" s="92"/>
    </row>
    <row r="211" spans="1:18" ht="12.95" customHeight="1" x14ac:dyDescent="0.25">
      <c r="A211" s="92"/>
      <c r="B211" s="245"/>
      <c r="C211" s="114"/>
      <c r="D211" s="125"/>
      <c r="E211" s="125"/>
      <c r="F211" s="125"/>
      <c r="G211" s="126"/>
      <c r="H211" s="116">
        <f t="shared" si="54"/>
        <v>1</v>
      </c>
      <c r="I211" s="110">
        <f t="shared" si="55"/>
        <v>0</v>
      </c>
      <c r="J211" s="92"/>
      <c r="K211" s="118">
        <v>1</v>
      </c>
      <c r="L211" s="118">
        <v>1</v>
      </c>
      <c r="M211" s="118">
        <v>1</v>
      </c>
      <c r="N211" s="118">
        <v>1</v>
      </c>
      <c r="O211" s="118">
        <v>1</v>
      </c>
      <c r="P211" s="118">
        <v>1</v>
      </c>
      <c r="Q211" s="99">
        <f t="shared" si="56"/>
        <v>1</v>
      </c>
      <c r="R211" s="92"/>
    </row>
    <row r="212" spans="1:18" ht="12.95" customHeight="1" x14ac:dyDescent="0.25">
      <c r="A212" s="92"/>
      <c r="B212" s="245"/>
      <c r="C212" s="114"/>
      <c r="D212" s="125"/>
      <c r="E212" s="125"/>
      <c r="F212" s="125"/>
      <c r="G212" s="126"/>
      <c r="H212" s="116">
        <f t="shared" si="54"/>
        <v>1</v>
      </c>
      <c r="I212" s="110">
        <f t="shared" si="55"/>
        <v>0</v>
      </c>
      <c r="J212" s="92"/>
      <c r="K212" s="118">
        <v>1</v>
      </c>
      <c r="L212" s="118">
        <v>1</v>
      </c>
      <c r="M212" s="118">
        <v>1</v>
      </c>
      <c r="N212" s="118">
        <v>1</v>
      </c>
      <c r="O212" s="118">
        <v>1</v>
      </c>
      <c r="P212" s="118">
        <v>1</v>
      </c>
      <c r="Q212" s="99">
        <f t="shared" si="56"/>
        <v>1</v>
      </c>
      <c r="R212" s="92"/>
    </row>
    <row r="213" spans="1:18" ht="5.0999999999999996" customHeight="1" x14ac:dyDescent="0.25">
      <c r="A213" s="92"/>
      <c r="C213" s="123" t="s">
        <v>12</v>
      </c>
      <c r="G213" s="110"/>
      <c r="I213" s="110"/>
      <c r="J213" s="92"/>
      <c r="K213" s="100"/>
      <c r="L213" s="100"/>
      <c r="M213" s="100"/>
      <c r="N213" s="100"/>
      <c r="O213" s="100"/>
      <c r="P213" s="100"/>
      <c r="Q213" s="100"/>
      <c r="R213" s="92"/>
    </row>
    <row r="214" spans="1:18" ht="12.95" customHeight="1" x14ac:dyDescent="0.25">
      <c r="A214" s="92"/>
      <c r="B214" s="254" t="s">
        <v>90</v>
      </c>
      <c r="C214" s="53" t="s">
        <v>91</v>
      </c>
      <c r="D214" s="49"/>
      <c r="E214" s="49"/>
      <c r="F214" s="49"/>
      <c r="G214" s="50"/>
      <c r="H214" s="49"/>
      <c r="I214" s="50">
        <f>SUM(I216:I225)</f>
        <v>0</v>
      </c>
      <c r="J214" s="92"/>
      <c r="K214" s="128"/>
      <c r="L214" s="128"/>
      <c r="M214" s="128"/>
      <c r="N214" s="128"/>
      <c r="O214" s="128"/>
      <c r="P214" s="128"/>
      <c r="Q214" s="128"/>
      <c r="R214" s="92"/>
    </row>
    <row r="215" spans="1:18" ht="5.0999999999999996" customHeight="1" x14ac:dyDescent="0.25">
      <c r="A215" s="92"/>
      <c r="B215" s="254"/>
      <c r="G215" s="110"/>
      <c r="I215" s="110"/>
      <c r="J215" s="92"/>
      <c r="K215" s="100"/>
      <c r="L215" s="100"/>
      <c r="M215" s="100"/>
      <c r="N215" s="100"/>
      <c r="O215" s="100"/>
      <c r="P215" s="100"/>
      <c r="Q215" s="100"/>
      <c r="R215" s="92"/>
    </row>
    <row r="216" spans="1:18" ht="12.95" customHeight="1" x14ac:dyDescent="0.25">
      <c r="A216" s="92"/>
      <c r="B216" s="254"/>
      <c r="C216" s="114"/>
      <c r="D216" s="125"/>
      <c r="E216" s="125"/>
      <c r="F216" s="125"/>
      <c r="G216" s="126"/>
      <c r="H216" s="116">
        <f>Q216</f>
        <v>1</v>
      </c>
      <c r="I216" s="110">
        <f>G216*H216</f>
        <v>0</v>
      </c>
      <c r="J216" s="92"/>
      <c r="K216" s="118">
        <v>1</v>
      </c>
      <c r="L216" s="118">
        <v>1</v>
      </c>
      <c r="M216" s="118">
        <v>1</v>
      </c>
      <c r="N216" s="118">
        <v>1</v>
      </c>
      <c r="O216" s="118">
        <v>1</v>
      </c>
      <c r="P216" s="118">
        <v>1</v>
      </c>
      <c r="Q216" s="99">
        <f>K216*L216*M216*N216*O216*P216</f>
        <v>1</v>
      </c>
      <c r="R216" s="92"/>
    </row>
    <row r="217" spans="1:18" ht="12.95" customHeight="1" x14ac:dyDescent="0.25">
      <c r="A217" s="92"/>
      <c r="B217" s="254"/>
      <c r="C217" s="114"/>
      <c r="D217" s="125"/>
      <c r="E217" s="125"/>
      <c r="F217" s="125"/>
      <c r="G217" s="126"/>
      <c r="H217" s="116">
        <f t="shared" ref="H217:H225" si="57">Q217</f>
        <v>1</v>
      </c>
      <c r="I217" s="110">
        <f t="shared" ref="I217:I225" si="58">G217*H217</f>
        <v>0</v>
      </c>
      <c r="J217" s="92"/>
      <c r="K217" s="118">
        <v>1</v>
      </c>
      <c r="L217" s="118">
        <v>1</v>
      </c>
      <c r="M217" s="118">
        <v>1</v>
      </c>
      <c r="N217" s="118">
        <v>1</v>
      </c>
      <c r="O217" s="118">
        <v>1</v>
      </c>
      <c r="P217" s="118">
        <v>1</v>
      </c>
      <c r="Q217" s="99">
        <f t="shared" ref="Q217:Q225" si="59">K217*L217*M217*N217*O217*P217</f>
        <v>1</v>
      </c>
      <c r="R217" s="92"/>
    </row>
    <row r="218" spans="1:18" ht="12.95" customHeight="1" x14ac:dyDescent="0.25">
      <c r="A218" s="92"/>
      <c r="B218" s="254"/>
      <c r="C218" s="114"/>
      <c r="D218" s="125"/>
      <c r="E218" s="125"/>
      <c r="F218" s="125"/>
      <c r="G218" s="126"/>
      <c r="H218" s="116">
        <f t="shared" si="57"/>
        <v>1</v>
      </c>
      <c r="I218" s="110">
        <f t="shared" si="58"/>
        <v>0</v>
      </c>
      <c r="J218" s="92"/>
      <c r="K218" s="118">
        <v>1</v>
      </c>
      <c r="L218" s="118">
        <v>1</v>
      </c>
      <c r="M218" s="118">
        <v>1</v>
      </c>
      <c r="N218" s="118">
        <v>1</v>
      </c>
      <c r="O218" s="118">
        <v>1</v>
      </c>
      <c r="P218" s="118">
        <v>1</v>
      </c>
      <c r="Q218" s="99">
        <f t="shared" si="59"/>
        <v>1</v>
      </c>
      <c r="R218" s="92"/>
    </row>
    <row r="219" spans="1:18" ht="12.95" customHeight="1" x14ac:dyDescent="0.25">
      <c r="A219" s="92"/>
      <c r="B219" s="254"/>
      <c r="C219" s="114"/>
      <c r="D219" s="125"/>
      <c r="E219" s="125"/>
      <c r="F219" s="125"/>
      <c r="G219" s="126"/>
      <c r="H219" s="116">
        <f t="shared" si="57"/>
        <v>1</v>
      </c>
      <c r="I219" s="110">
        <f t="shared" si="58"/>
        <v>0</v>
      </c>
      <c r="J219" s="92"/>
      <c r="K219" s="118">
        <v>1</v>
      </c>
      <c r="L219" s="118">
        <v>1</v>
      </c>
      <c r="M219" s="118">
        <v>1</v>
      </c>
      <c r="N219" s="118">
        <v>1</v>
      </c>
      <c r="O219" s="118">
        <v>1</v>
      </c>
      <c r="P219" s="118">
        <v>1</v>
      </c>
      <c r="Q219" s="99">
        <f t="shared" si="59"/>
        <v>1</v>
      </c>
      <c r="R219" s="92"/>
    </row>
    <row r="220" spans="1:18" ht="12.95" customHeight="1" x14ac:dyDescent="0.25">
      <c r="A220" s="92"/>
      <c r="B220" s="254"/>
      <c r="C220" s="114"/>
      <c r="D220" s="125"/>
      <c r="E220" s="125"/>
      <c r="F220" s="125"/>
      <c r="G220" s="126"/>
      <c r="H220" s="116">
        <f t="shared" si="57"/>
        <v>1</v>
      </c>
      <c r="I220" s="110">
        <f t="shared" si="58"/>
        <v>0</v>
      </c>
      <c r="J220" s="92"/>
      <c r="K220" s="118">
        <v>1</v>
      </c>
      <c r="L220" s="118">
        <v>1</v>
      </c>
      <c r="M220" s="118">
        <v>1</v>
      </c>
      <c r="N220" s="118">
        <v>1</v>
      </c>
      <c r="O220" s="118">
        <v>1</v>
      </c>
      <c r="P220" s="118">
        <v>1</v>
      </c>
      <c r="Q220" s="99">
        <f t="shared" si="59"/>
        <v>1</v>
      </c>
      <c r="R220" s="92"/>
    </row>
    <row r="221" spans="1:18" ht="12.95" customHeight="1" x14ac:dyDescent="0.25">
      <c r="A221" s="92"/>
      <c r="B221" s="254"/>
      <c r="C221" s="114"/>
      <c r="D221" s="125"/>
      <c r="E221" s="125"/>
      <c r="F221" s="125"/>
      <c r="G221" s="126"/>
      <c r="H221" s="116">
        <f t="shared" si="57"/>
        <v>1</v>
      </c>
      <c r="I221" s="110">
        <f t="shared" si="58"/>
        <v>0</v>
      </c>
      <c r="J221" s="92"/>
      <c r="K221" s="118">
        <v>1</v>
      </c>
      <c r="L221" s="118">
        <v>1</v>
      </c>
      <c r="M221" s="118">
        <v>1</v>
      </c>
      <c r="N221" s="118">
        <v>1</v>
      </c>
      <c r="O221" s="118">
        <v>1</v>
      </c>
      <c r="P221" s="118">
        <v>1</v>
      </c>
      <c r="Q221" s="99">
        <f t="shared" si="59"/>
        <v>1</v>
      </c>
      <c r="R221" s="92"/>
    </row>
    <row r="222" spans="1:18" ht="12.95" customHeight="1" x14ac:dyDescent="0.25">
      <c r="A222" s="92"/>
      <c r="B222" s="254"/>
      <c r="C222" s="114"/>
      <c r="D222" s="125"/>
      <c r="E222" s="125"/>
      <c r="F222" s="125"/>
      <c r="G222" s="126"/>
      <c r="H222" s="116">
        <f t="shared" si="57"/>
        <v>1</v>
      </c>
      <c r="I222" s="110">
        <f t="shared" si="58"/>
        <v>0</v>
      </c>
      <c r="J222" s="92"/>
      <c r="K222" s="118">
        <v>1</v>
      </c>
      <c r="L222" s="118">
        <v>1</v>
      </c>
      <c r="M222" s="118">
        <v>1</v>
      </c>
      <c r="N222" s="118">
        <v>1</v>
      </c>
      <c r="O222" s="118">
        <v>1</v>
      </c>
      <c r="P222" s="118">
        <v>1</v>
      </c>
      <c r="Q222" s="99">
        <f t="shared" si="59"/>
        <v>1</v>
      </c>
      <c r="R222" s="92"/>
    </row>
    <row r="223" spans="1:18" ht="12.95" customHeight="1" x14ac:dyDescent="0.25">
      <c r="A223" s="92"/>
      <c r="B223" s="254"/>
      <c r="C223" s="114"/>
      <c r="D223" s="125"/>
      <c r="E223" s="125"/>
      <c r="F223" s="125"/>
      <c r="G223" s="126"/>
      <c r="H223" s="116">
        <f t="shared" si="57"/>
        <v>1</v>
      </c>
      <c r="I223" s="110">
        <f t="shared" si="58"/>
        <v>0</v>
      </c>
      <c r="J223" s="92"/>
      <c r="K223" s="118">
        <v>1</v>
      </c>
      <c r="L223" s="118">
        <v>1</v>
      </c>
      <c r="M223" s="118">
        <v>1</v>
      </c>
      <c r="N223" s="118">
        <v>1</v>
      </c>
      <c r="O223" s="118">
        <v>1</v>
      </c>
      <c r="P223" s="118">
        <v>1</v>
      </c>
      <c r="Q223" s="99">
        <f t="shared" si="59"/>
        <v>1</v>
      </c>
      <c r="R223" s="92"/>
    </row>
    <row r="224" spans="1:18" ht="12.95" customHeight="1" x14ac:dyDescent="0.25">
      <c r="A224" s="92"/>
      <c r="B224" s="254"/>
      <c r="C224" s="114"/>
      <c r="D224" s="125"/>
      <c r="E224" s="125"/>
      <c r="F224" s="125"/>
      <c r="G224" s="126"/>
      <c r="H224" s="116">
        <f t="shared" si="57"/>
        <v>1</v>
      </c>
      <c r="I224" s="110">
        <f t="shared" si="58"/>
        <v>0</v>
      </c>
      <c r="J224" s="92"/>
      <c r="K224" s="118">
        <v>1</v>
      </c>
      <c r="L224" s="118">
        <v>1</v>
      </c>
      <c r="M224" s="118">
        <v>1</v>
      </c>
      <c r="N224" s="118">
        <v>1</v>
      </c>
      <c r="O224" s="118">
        <v>1</v>
      </c>
      <c r="P224" s="118">
        <v>1</v>
      </c>
      <c r="Q224" s="99">
        <f t="shared" si="59"/>
        <v>1</v>
      </c>
      <c r="R224" s="92"/>
    </row>
    <row r="225" spans="1:18" ht="12.95" customHeight="1" x14ac:dyDescent="0.25">
      <c r="A225" s="92"/>
      <c r="B225" s="254"/>
      <c r="C225" s="114"/>
      <c r="D225" s="125"/>
      <c r="E225" s="125"/>
      <c r="F225" s="125"/>
      <c r="G225" s="126"/>
      <c r="H225" s="116">
        <f t="shared" si="57"/>
        <v>1</v>
      </c>
      <c r="I225" s="110">
        <f t="shared" si="58"/>
        <v>0</v>
      </c>
      <c r="J225" s="92"/>
      <c r="K225" s="118">
        <v>1</v>
      </c>
      <c r="L225" s="118">
        <v>1</v>
      </c>
      <c r="M225" s="118">
        <v>1</v>
      </c>
      <c r="N225" s="118">
        <v>1</v>
      </c>
      <c r="O225" s="118">
        <v>1</v>
      </c>
      <c r="P225" s="118">
        <v>1</v>
      </c>
      <c r="Q225" s="99">
        <f t="shared" si="59"/>
        <v>1</v>
      </c>
      <c r="R225" s="92"/>
    </row>
    <row r="226" spans="1:18" ht="5.0999999999999996" customHeight="1" x14ac:dyDescent="0.25">
      <c r="A226" s="92"/>
      <c r="C226" s="123" t="s">
        <v>12</v>
      </c>
      <c r="G226" s="110"/>
      <c r="I226" s="110"/>
      <c r="J226" s="92"/>
      <c r="K226" s="100"/>
      <c r="L226" s="100"/>
      <c r="M226" s="100"/>
      <c r="N226" s="100"/>
      <c r="O226" s="100"/>
      <c r="P226" s="100"/>
      <c r="Q226" s="100"/>
      <c r="R226" s="92"/>
    </row>
    <row r="227" spans="1:18" ht="12.95" customHeight="1" x14ac:dyDescent="0.25">
      <c r="A227" s="92"/>
      <c r="B227" s="47" t="s">
        <v>92</v>
      </c>
      <c r="C227" s="53" t="s">
        <v>93</v>
      </c>
      <c r="D227" s="49"/>
      <c r="E227" s="49"/>
      <c r="F227" s="49"/>
      <c r="G227" s="50"/>
      <c r="H227" s="49"/>
      <c r="I227" s="50"/>
      <c r="J227" s="92"/>
      <c r="K227" s="128"/>
      <c r="L227" s="128"/>
      <c r="M227" s="128"/>
      <c r="N227" s="128"/>
      <c r="O227" s="128"/>
      <c r="P227" s="128"/>
      <c r="Q227" s="128"/>
      <c r="R227" s="92"/>
    </row>
    <row r="228" spans="1:18" ht="5.0999999999999996" customHeight="1" x14ac:dyDescent="0.25">
      <c r="A228" s="92"/>
      <c r="G228" s="110"/>
      <c r="I228" s="110"/>
      <c r="J228" s="92"/>
      <c r="K228" s="100"/>
      <c r="L228" s="100"/>
      <c r="M228" s="100"/>
      <c r="N228" s="100"/>
      <c r="O228" s="100"/>
      <c r="P228" s="100"/>
      <c r="Q228" s="100"/>
      <c r="R228" s="92"/>
    </row>
    <row r="229" spans="1:18" ht="12.95" customHeight="1" x14ac:dyDescent="0.25">
      <c r="A229" s="92"/>
      <c r="B229" s="245" t="s">
        <v>95</v>
      </c>
      <c r="C229" s="129" t="s">
        <v>94</v>
      </c>
      <c r="D229" s="51"/>
      <c r="E229" s="51"/>
      <c r="F229" s="51"/>
      <c r="G229" s="52"/>
      <c r="H229" s="51"/>
      <c r="I229" s="52">
        <f>SUM(I231:I240)</f>
        <v>0</v>
      </c>
      <c r="J229" s="92"/>
      <c r="K229" s="130"/>
      <c r="L229" s="130"/>
      <c r="M229" s="130"/>
      <c r="N229" s="130"/>
      <c r="O229" s="130"/>
      <c r="P229" s="130"/>
      <c r="Q229" s="130"/>
      <c r="R229" s="92"/>
    </row>
    <row r="230" spans="1:18" ht="5.0999999999999996" customHeight="1" x14ac:dyDescent="0.25">
      <c r="A230" s="92"/>
      <c r="B230" s="245"/>
      <c r="G230" s="110"/>
      <c r="I230" s="110"/>
      <c r="J230" s="92"/>
      <c r="K230" s="100"/>
      <c r="L230" s="100"/>
      <c r="M230" s="100"/>
      <c r="N230" s="100"/>
      <c r="O230" s="100"/>
      <c r="P230" s="100"/>
      <c r="Q230" s="100"/>
      <c r="R230" s="92"/>
    </row>
    <row r="231" spans="1:18" ht="12.95" customHeight="1" x14ac:dyDescent="0.25">
      <c r="A231" s="92"/>
      <c r="B231" s="245"/>
      <c r="C231" s="114"/>
      <c r="D231" s="125"/>
      <c r="E231" s="125"/>
      <c r="F231" s="125"/>
      <c r="G231" s="126"/>
      <c r="H231" s="116">
        <f>Q231</f>
        <v>1</v>
      </c>
      <c r="I231" s="110">
        <f>G231*H231</f>
        <v>0</v>
      </c>
      <c r="J231" s="92"/>
      <c r="K231" s="118">
        <v>1</v>
      </c>
      <c r="L231" s="118">
        <v>1</v>
      </c>
      <c r="M231" s="118">
        <v>1</v>
      </c>
      <c r="N231" s="118">
        <v>1</v>
      </c>
      <c r="O231" s="118">
        <v>1</v>
      </c>
      <c r="P231" s="118">
        <v>1</v>
      </c>
      <c r="Q231" s="99">
        <f>K231*L231*M231*N231*O231*P231</f>
        <v>1</v>
      </c>
      <c r="R231" s="92"/>
    </row>
    <row r="232" spans="1:18" ht="12.95" customHeight="1" x14ac:dyDescent="0.25">
      <c r="A232" s="92"/>
      <c r="B232" s="245"/>
      <c r="C232" s="114"/>
      <c r="D232" s="125"/>
      <c r="E232" s="125"/>
      <c r="F232" s="125"/>
      <c r="G232" s="126"/>
      <c r="H232" s="116">
        <f t="shared" ref="H232:H240" si="60">Q232</f>
        <v>1</v>
      </c>
      <c r="I232" s="110">
        <f t="shared" ref="I232:I240" si="61">G232*H232</f>
        <v>0</v>
      </c>
      <c r="J232" s="92"/>
      <c r="K232" s="118">
        <v>1</v>
      </c>
      <c r="L232" s="118">
        <v>1</v>
      </c>
      <c r="M232" s="118">
        <v>1</v>
      </c>
      <c r="N232" s="118">
        <v>1</v>
      </c>
      <c r="O232" s="118">
        <v>1</v>
      </c>
      <c r="P232" s="118">
        <v>1</v>
      </c>
      <c r="Q232" s="99">
        <f t="shared" ref="Q232:Q240" si="62">K232*L232*M232*N232*O232*P232</f>
        <v>1</v>
      </c>
      <c r="R232" s="92"/>
    </row>
    <row r="233" spans="1:18" ht="12.95" customHeight="1" x14ac:dyDescent="0.25">
      <c r="A233" s="92"/>
      <c r="B233" s="245"/>
      <c r="C233" s="114"/>
      <c r="D233" s="125"/>
      <c r="E233" s="125"/>
      <c r="F233" s="125"/>
      <c r="G233" s="126"/>
      <c r="H233" s="116">
        <f t="shared" si="60"/>
        <v>1</v>
      </c>
      <c r="I233" s="110">
        <f t="shared" si="61"/>
        <v>0</v>
      </c>
      <c r="J233" s="92"/>
      <c r="K233" s="118">
        <v>1</v>
      </c>
      <c r="L233" s="118">
        <v>1</v>
      </c>
      <c r="M233" s="118">
        <v>1</v>
      </c>
      <c r="N233" s="118">
        <v>1</v>
      </c>
      <c r="O233" s="118">
        <v>1</v>
      </c>
      <c r="P233" s="118">
        <v>1</v>
      </c>
      <c r="Q233" s="99">
        <f t="shared" si="62"/>
        <v>1</v>
      </c>
      <c r="R233" s="92"/>
    </row>
    <row r="234" spans="1:18" ht="12.95" customHeight="1" x14ac:dyDescent="0.25">
      <c r="A234" s="92"/>
      <c r="B234" s="245"/>
      <c r="C234" s="114"/>
      <c r="D234" s="125"/>
      <c r="E234" s="125"/>
      <c r="F234" s="125"/>
      <c r="G234" s="126"/>
      <c r="H234" s="116">
        <f t="shared" si="60"/>
        <v>1</v>
      </c>
      <c r="I234" s="110">
        <f t="shared" si="61"/>
        <v>0</v>
      </c>
      <c r="J234" s="92"/>
      <c r="K234" s="118">
        <v>1</v>
      </c>
      <c r="L234" s="118">
        <v>1</v>
      </c>
      <c r="M234" s="118">
        <v>1</v>
      </c>
      <c r="N234" s="118">
        <v>1</v>
      </c>
      <c r="O234" s="118">
        <v>1</v>
      </c>
      <c r="P234" s="118">
        <v>1</v>
      </c>
      <c r="Q234" s="99">
        <f t="shared" si="62"/>
        <v>1</v>
      </c>
      <c r="R234" s="92"/>
    </row>
    <row r="235" spans="1:18" ht="12.95" customHeight="1" x14ac:dyDescent="0.25">
      <c r="A235" s="92"/>
      <c r="B235" s="245"/>
      <c r="C235" s="114"/>
      <c r="D235" s="125"/>
      <c r="E235" s="125"/>
      <c r="F235" s="125"/>
      <c r="G235" s="126"/>
      <c r="H235" s="116">
        <f t="shared" si="60"/>
        <v>1</v>
      </c>
      <c r="I235" s="110">
        <f t="shared" si="61"/>
        <v>0</v>
      </c>
      <c r="J235" s="92"/>
      <c r="K235" s="118">
        <v>1</v>
      </c>
      <c r="L235" s="118">
        <v>1</v>
      </c>
      <c r="M235" s="118">
        <v>1</v>
      </c>
      <c r="N235" s="118">
        <v>1</v>
      </c>
      <c r="O235" s="118">
        <v>1</v>
      </c>
      <c r="P235" s="118">
        <v>1</v>
      </c>
      <c r="Q235" s="99">
        <f t="shared" si="62"/>
        <v>1</v>
      </c>
      <c r="R235" s="92"/>
    </row>
    <row r="236" spans="1:18" ht="12.95" customHeight="1" x14ac:dyDescent="0.25">
      <c r="A236" s="92"/>
      <c r="B236" s="245"/>
      <c r="C236" s="114"/>
      <c r="D236" s="125"/>
      <c r="E236" s="125"/>
      <c r="F236" s="125"/>
      <c r="G236" s="126"/>
      <c r="H236" s="116">
        <f t="shared" si="60"/>
        <v>1</v>
      </c>
      <c r="I236" s="110">
        <f t="shared" si="61"/>
        <v>0</v>
      </c>
      <c r="J236" s="92"/>
      <c r="K236" s="118">
        <v>1</v>
      </c>
      <c r="L236" s="118">
        <v>1</v>
      </c>
      <c r="M236" s="118">
        <v>1</v>
      </c>
      <c r="N236" s="118">
        <v>1</v>
      </c>
      <c r="O236" s="118">
        <v>1</v>
      </c>
      <c r="P236" s="118">
        <v>1</v>
      </c>
      <c r="Q236" s="99">
        <f t="shared" si="62"/>
        <v>1</v>
      </c>
      <c r="R236" s="92"/>
    </row>
    <row r="237" spans="1:18" ht="12.95" customHeight="1" x14ac:dyDescent="0.25">
      <c r="A237" s="92"/>
      <c r="B237" s="245"/>
      <c r="C237" s="114"/>
      <c r="D237" s="125"/>
      <c r="E237" s="125"/>
      <c r="F237" s="125"/>
      <c r="G237" s="126"/>
      <c r="H237" s="116">
        <f t="shared" si="60"/>
        <v>1</v>
      </c>
      <c r="I237" s="110">
        <f t="shared" si="61"/>
        <v>0</v>
      </c>
      <c r="J237" s="92"/>
      <c r="K237" s="118">
        <v>1</v>
      </c>
      <c r="L237" s="118">
        <v>1</v>
      </c>
      <c r="M237" s="118">
        <v>1</v>
      </c>
      <c r="N237" s="118">
        <v>1</v>
      </c>
      <c r="O237" s="118">
        <v>1</v>
      </c>
      <c r="P237" s="118">
        <v>1</v>
      </c>
      <c r="Q237" s="99">
        <f t="shared" si="62"/>
        <v>1</v>
      </c>
      <c r="R237" s="92"/>
    </row>
    <row r="238" spans="1:18" ht="12.95" customHeight="1" x14ac:dyDescent="0.25">
      <c r="A238" s="92"/>
      <c r="B238" s="245"/>
      <c r="C238" s="114"/>
      <c r="D238" s="125"/>
      <c r="E238" s="125"/>
      <c r="F238" s="125"/>
      <c r="G238" s="126"/>
      <c r="H238" s="116">
        <f t="shared" si="60"/>
        <v>1</v>
      </c>
      <c r="I238" s="110">
        <f t="shared" si="61"/>
        <v>0</v>
      </c>
      <c r="J238" s="92"/>
      <c r="K238" s="118">
        <v>1</v>
      </c>
      <c r="L238" s="118">
        <v>1</v>
      </c>
      <c r="M238" s="118">
        <v>1</v>
      </c>
      <c r="N238" s="118">
        <v>1</v>
      </c>
      <c r="O238" s="118">
        <v>1</v>
      </c>
      <c r="P238" s="118">
        <v>1</v>
      </c>
      <c r="Q238" s="99">
        <f t="shared" si="62"/>
        <v>1</v>
      </c>
      <c r="R238" s="92"/>
    </row>
    <row r="239" spans="1:18" ht="12.95" customHeight="1" x14ac:dyDescent="0.25">
      <c r="A239" s="92"/>
      <c r="B239" s="245"/>
      <c r="C239" s="114"/>
      <c r="D239" s="125"/>
      <c r="E239" s="125"/>
      <c r="F239" s="125"/>
      <c r="G239" s="126"/>
      <c r="H239" s="116">
        <f t="shared" si="60"/>
        <v>1</v>
      </c>
      <c r="I239" s="110">
        <f t="shared" si="61"/>
        <v>0</v>
      </c>
      <c r="J239" s="92"/>
      <c r="K239" s="118">
        <v>1</v>
      </c>
      <c r="L239" s="118">
        <v>1</v>
      </c>
      <c r="M239" s="118">
        <v>1</v>
      </c>
      <c r="N239" s="118">
        <v>1</v>
      </c>
      <c r="O239" s="118">
        <v>1</v>
      </c>
      <c r="P239" s="118">
        <v>1</v>
      </c>
      <c r="Q239" s="99">
        <f t="shared" si="62"/>
        <v>1</v>
      </c>
      <c r="R239" s="92"/>
    </row>
    <row r="240" spans="1:18" ht="12.95" customHeight="1" x14ac:dyDescent="0.25">
      <c r="A240" s="92"/>
      <c r="B240" s="245"/>
      <c r="C240" s="114"/>
      <c r="D240" s="125"/>
      <c r="E240" s="125"/>
      <c r="F240" s="125"/>
      <c r="G240" s="126"/>
      <c r="H240" s="116">
        <f t="shared" si="60"/>
        <v>1</v>
      </c>
      <c r="I240" s="110">
        <f t="shared" si="61"/>
        <v>0</v>
      </c>
      <c r="J240" s="92"/>
      <c r="K240" s="118">
        <v>1</v>
      </c>
      <c r="L240" s="118">
        <v>1</v>
      </c>
      <c r="M240" s="118">
        <v>1</v>
      </c>
      <c r="N240" s="118">
        <v>1</v>
      </c>
      <c r="O240" s="118">
        <v>1</v>
      </c>
      <c r="P240" s="118">
        <v>1</v>
      </c>
      <c r="Q240" s="99">
        <f t="shared" si="62"/>
        <v>1</v>
      </c>
      <c r="R240" s="92"/>
    </row>
    <row r="241" spans="1:18" ht="5.0999999999999996" customHeight="1" x14ac:dyDescent="0.25">
      <c r="A241" s="92"/>
      <c r="C241" s="123" t="s">
        <v>12</v>
      </c>
      <c r="G241" s="110"/>
      <c r="I241" s="110"/>
      <c r="J241" s="92"/>
      <c r="K241" s="99"/>
      <c r="L241" s="99"/>
      <c r="M241" s="99"/>
      <c r="N241" s="99"/>
      <c r="O241" s="99"/>
      <c r="P241" s="99"/>
      <c r="Q241" s="100"/>
      <c r="R241" s="92"/>
    </row>
    <row r="242" spans="1:18" ht="12.95" customHeight="1" x14ac:dyDescent="0.25">
      <c r="A242" s="92"/>
      <c r="B242" s="245" t="s">
        <v>96</v>
      </c>
      <c r="C242" s="129" t="s">
        <v>97</v>
      </c>
      <c r="D242" s="51"/>
      <c r="E242" s="51"/>
      <c r="F242" s="51"/>
      <c r="G242" s="52"/>
      <c r="H242" s="51"/>
      <c r="I242" s="52">
        <f>SUM(I244:I253)</f>
        <v>0</v>
      </c>
      <c r="J242" s="92"/>
      <c r="K242" s="131"/>
      <c r="L242" s="131"/>
      <c r="M242" s="131"/>
      <c r="N242" s="131"/>
      <c r="O242" s="131"/>
      <c r="P242" s="131"/>
      <c r="Q242" s="130"/>
      <c r="R242" s="92"/>
    </row>
    <row r="243" spans="1:18" ht="5.0999999999999996" customHeight="1" x14ac:dyDescent="0.25">
      <c r="A243" s="92"/>
      <c r="B243" s="245"/>
      <c r="G243" s="110"/>
      <c r="I243" s="110"/>
      <c r="J243" s="92"/>
      <c r="K243" s="99"/>
      <c r="L243" s="99"/>
      <c r="M243" s="99"/>
      <c r="N243" s="99"/>
      <c r="O243" s="99"/>
      <c r="P243" s="99"/>
      <c r="Q243" s="100"/>
      <c r="R243" s="92"/>
    </row>
    <row r="244" spans="1:18" ht="12.95" customHeight="1" x14ac:dyDescent="0.25">
      <c r="A244" s="92"/>
      <c r="B244" s="245"/>
      <c r="C244" s="114"/>
      <c r="D244" s="125"/>
      <c r="E244" s="125"/>
      <c r="F244" s="125"/>
      <c r="G244" s="126"/>
      <c r="H244" s="116">
        <f>Q244</f>
        <v>1</v>
      </c>
      <c r="I244" s="110">
        <f>G244*H244</f>
        <v>0</v>
      </c>
      <c r="J244" s="92"/>
      <c r="K244" s="118">
        <v>1</v>
      </c>
      <c r="L244" s="118">
        <v>1</v>
      </c>
      <c r="M244" s="118">
        <v>1</v>
      </c>
      <c r="N244" s="118">
        <v>1</v>
      </c>
      <c r="O244" s="118">
        <v>1</v>
      </c>
      <c r="P244" s="118">
        <v>1</v>
      </c>
      <c r="Q244" s="99">
        <f>K244*L244*M244*N244*O244*P244</f>
        <v>1</v>
      </c>
      <c r="R244" s="92"/>
    </row>
    <row r="245" spans="1:18" ht="12.95" customHeight="1" x14ac:dyDescent="0.25">
      <c r="A245" s="92"/>
      <c r="B245" s="245"/>
      <c r="C245" s="114"/>
      <c r="D245" s="125"/>
      <c r="E245" s="125"/>
      <c r="F245" s="125"/>
      <c r="G245" s="126"/>
      <c r="H245" s="116">
        <f t="shared" ref="H245:H253" si="63">Q245</f>
        <v>1</v>
      </c>
      <c r="I245" s="110">
        <f t="shared" ref="I245:I253" si="64">G245*H245</f>
        <v>0</v>
      </c>
      <c r="J245" s="92"/>
      <c r="K245" s="118">
        <v>1</v>
      </c>
      <c r="L245" s="118">
        <v>1</v>
      </c>
      <c r="M245" s="118">
        <v>1</v>
      </c>
      <c r="N245" s="118">
        <v>1</v>
      </c>
      <c r="O245" s="118">
        <v>1</v>
      </c>
      <c r="P245" s="118">
        <v>1</v>
      </c>
      <c r="Q245" s="99">
        <f t="shared" ref="Q245:Q253" si="65">K245*L245*M245*N245*O245*P245</f>
        <v>1</v>
      </c>
      <c r="R245" s="92"/>
    </row>
    <row r="246" spans="1:18" ht="12.95" customHeight="1" x14ac:dyDescent="0.25">
      <c r="A246" s="92"/>
      <c r="B246" s="245"/>
      <c r="C246" s="114"/>
      <c r="D246" s="125"/>
      <c r="E246" s="125"/>
      <c r="F246" s="125"/>
      <c r="G246" s="126"/>
      <c r="H246" s="116">
        <f t="shared" si="63"/>
        <v>1</v>
      </c>
      <c r="I246" s="110">
        <f t="shared" si="64"/>
        <v>0</v>
      </c>
      <c r="J246" s="92"/>
      <c r="K246" s="118">
        <v>1</v>
      </c>
      <c r="L246" s="118">
        <v>1</v>
      </c>
      <c r="M246" s="118">
        <v>1</v>
      </c>
      <c r="N246" s="118">
        <v>1</v>
      </c>
      <c r="O246" s="118">
        <v>1</v>
      </c>
      <c r="P246" s="118">
        <v>1</v>
      </c>
      <c r="Q246" s="99">
        <f t="shared" si="65"/>
        <v>1</v>
      </c>
      <c r="R246" s="92"/>
    </row>
    <row r="247" spans="1:18" ht="12.95" customHeight="1" x14ac:dyDescent="0.25">
      <c r="A247" s="92"/>
      <c r="B247" s="245"/>
      <c r="C247" s="114"/>
      <c r="D247" s="125"/>
      <c r="E247" s="125"/>
      <c r="F247" s="125"/>
      <c r="G247" s="126"/>
      <c r="H247" s="116">
        <f t="shared" si="63"/>
        <v>1</v>
      </c>
      <c r="I247" s="110">
        <f t="shared" si="64"/>
        <v>0</v>
      </c>
      <c r="J247" s="92"/>
      <c r="K247" s="118">
        <v>1</v>
      </c>
      <c r="L247" s="118">
        <v>1</v>
      </c>
      <c r="M247" s="118">
        <v>1</v>
      </c>
      <c r="N247" s="118">
        <v>1</v>
      </c>
      <c r="O247" s="118">
        <v>1</v>
      </c>
      <c r="P247" s="118">
        <v>1</v>
      </c>
      <c r="Q247" s="99">
        <f t="shared" si="65"/>
        <v>1</v>
      </c>
      <c r="R247" s="92"/>
    </row>
    <row r="248" spans="1:18" ht="12.95" customHeight="1" x14ac:dyDescent="0.25">
      <c r="A248" s="92"/>
      <c r="B248" s="245"/>
      <c r="C248" s="114"/>
      <c r="D248" s="125"/>
      <c r="E248" s="125"/>
      <c r="F248" s="125"/>
      <c r="G248" s="126"/>
      <c r="H248" s="116">
        <f t="shared" si="63"/>
        <v>1</v>
      </c>
      <c r="I248" s="110">
        <f t="shared" si="64"/>
        <v>0</v>
      </c>
      <c r="J248" s="92"/>
      <c r="K248" s="118">
        <v>1</v>
      </c>
      <c r="L248" s="118">
        <v>1</v>
      </c>
      <c r="M248" s="118">
        <v>1</v>
      </c>
      <c r="N248" s="118">
        <v>1</v>
      </c>
      <c r="O248" s="118">
        <v>1</v>
      </c>
      <c r="P248" s="118">
        <v>1</v>
      </c>
      <c r="Q248" s="99">
        <f t="shared" si="65"/>
        <v>1</v>
      </c>
      <c r="R248" s="92"/>
    </row>
    <row r="249" spans="1:18" ht="12.95" customHeight="1" x14ac:dyDescent="0.25">
      <c r="A249" s="92"/>
      <c r="B249" s="245"/>
      <c r="C249" s="114"/>
      <c r="D249" s="125"/>
      <c r="E249" s="125"/>
      <c r="F249" s="125"/>
      <c r="G249" s="126"/>
      <c r="H249" s="116">
        <f t="shared" si="63"/>
        <v>1</v>
      </c>
      <c r="I249" s="110">
        <f t="shared" si="64"/>
        <v>0</v>
      </c>
      <c r="J249" s="92"/>
      <c r="K249" s="118">
        <v>1</v>
      </c>
      <c r="L249" s="118">
        <v>1</v>
      </c>
      <c r="M249" s="118">
        <v>1</v>
      </c>
      <c r="N249" s="118">
        <v>1</v>
      </c>
      <c r="O249" s="118">
        <v>1</v>
      </c>
      <c r="P249" s="118">
        <v>1</v>
      </c>
      <c r="Q249" s="99">
        <f t="shared" si="65"/>
        <v>1</v>
      </c>
      <c r="R249" s="92"/>
    </row>
    <row r="250" spans="1:18" ht="12.95" customHeight="1" x14ac:dyDescent="0.25">
      <c r="A250" s="92"/>
      <c r="B250" s="245"/>
      <c r="C250" s="114"/>
      <c r="D250" s="125"/>
      <c r="E250" s="125"/>
      <c r="F250" s="125"/>
      <c r="G250" s="126"/>
      <c r="H250" s="116">
        <f t="shared" si="63"/>
        <v>1</v>
      </c>
      <c r="I250" s="110">
        <f t="shared" si="64"/>
        <v>0</v>
      </c>
      <c r="J250" s="92"/>
      <c r="K250" s="118">
        <v>1</v>
      </c>
      <c r="L250" s="118">
        <v>1</v>
      </c>
      <c r="M250" s="118">
        <v>1</v>
      </c>
      <c r="N250" s="118">
        <v>1</v>
      </c>
      <c r="O250" s="118">
        <v>1</v>
      </c>
      <c r="P250" s="118">
        <v>1</v>
      </c>
      <c r="Q250" s="99">
        <f t="shared" si="65"/>
        <v>1</v>
      </c>
      <c r="R250" s="92"/>
    </row>
    <row r="251" spans="1:18" ht="12.95" customHeight="1" x14ac:dyDescent="0.25">
      <c r="A251" s="92"/>
      <c r="B251" s="245"/>
      <c r="C251" s="114"/>
      <c r="D251" s="125"/>
      <c r="E251" s="125"/>
      <c r="F251" s="125"/>
      <c r="G251" s="126"/>
      <c r="H251" s="116">
        <f t="shared" si="63"/>
        <v>1</v>
      </c>
      <c r="I251" s="110">
        <f t="shared" si="64"/>
        <v>0</v>
      </c>
      <c r="J251" s="92"/>
      <c r="K251" s="118">
        <v>1</v>
      </c>
      <c r="L251" s="118">
        <v>1</v>
      </c>
      <c r="M251" s="118">
        <v>1</v>
      </c>
      <c r="N251" s="118">
        <v>1</v>
      </c>
      <c r="O251" s="118">
        <v>1</v>
      </c>
      <c r="P251" s="118">
        <v>1</v>
      </c>
      <c r="Q251" s="99">
        <f t="shared" si="65"/>
        <v>1</v>
      </c>
      <c r="R251" s="92"/>
    </row>
    <row r="252" spans="1:18" ht="12.95" customHeight="1" x14ac:dyDescent="0.25">
      <c r="A252" s="92"/>
      <c r="B252" s="245"/>
      <c r="C252" s="114"/>
      <c r="D252" s="125"/>
      <c r="E252" s="125"/>
      <c r="F252" s="125"/>
      <c r="G252" s="126"/>
      <c r="H252" s="116">
        <f t="shared" si="63"/>
        <v>1</v>
      </c>
      <c r="I252" s="110">
        <f t="shared" si="64"/>
        <v>0</v>
      </c>
      <c r="J252" s="92"/>
      <c r="K252" s="118">
        <v>1</v>
      </c>
      <c r="L252" s="118">
        <v>1</v>
      </c>
      <c r="M252" s="118">
        <v>1</v>
      </c>
      <c r="N252" s="118">
        <v>1</v>
      </c>
      <c r="O252" s="118">
        <v>1</v>
      </c>
      <c r="P252" s="118">
        <v>1</v>
      </c>
      <c r="Q252" s="99">
        <f t="shared" si="65"/>
        <v>1</v>
      </c>
      <c r="R252" s="92"/>
    </row>
    <row r="253" spans="1:18" ht="12.95" customHeight="1" x14ac:dyDescent="0.25">
      <c r="A253" s="92"/>
      <c r="B253" s="245"/>
      <c r="C253" s="114"/>
      <c r="D253" s="125"/>
      <c r="E253" s="125"/>
      <c r="F253" s="125"/>
      <c r="G253" s="126"/>
      <c r="H253" s="116">
        <f t="shared" si="63"/>
        <v>1</v>
      </c>
      <c r="I253" s="110">
        <f t="shared" si="64"/>
        <v>0</v>
      </c>
      <c r="J253" s="92"/>
      <c r="K253" s="118">
        <v>1</v>
      </c>
      <c r="L253" s="118">
        <v>1</v>
      </c>
      <c r="M253" s="118">
        <v>1</v>
      </c>
      <c r="N253" s="118">
        <v>1</v>
      </c>
      <c r="O253" s="118">
        <v>1</v>
      </c>
      <c r="P253" s="118">
        <v>1</v>
      </c>
      <c r="Q253" s="99">
        <f t="shared" si="65"/>
        <v>1</v>
      </c>
      <c r="R253" s="92"/>
    </row>
    <row r="254" spans="1:18" ht="5.0999999999999996" customHeight="1" x14ac:dyDescent="0.25">
      <c r="A254" s="92"/>
      <c r="C254" s="123" t="s">
        <v>12</v>
      </c>
      <c r="G254" s="110"/>
      <c r="I254" s="110"/>
      <c r="J254" s="92"/>
      <c r="K254" s="100"/>
      <c r="L254" s="100"/>
      <c r="M254" s="100"/>
      <c r="N254" s="100"/>
      <c r="O254" s="100"/>
      <c r="P254" s="100"/>
      <c r="Q254" s="100"/>
      <c r="R254" s="92"/>
    </row>
    <row r="255" spans="1:18" ht="12.95" customHeight="1" x14ac:dyDescent="0.25">
      <c r="A255" s="92"/>
      <c r="B255" s="47" t="s">
        <v>99</v>
      </c>
      <c r="C255" s="53" t="s">
        <v>98</v>
      </c>
      <c r="D255" s="49"/>
      <c r="E255" s="49"/>
      <c r="F255" s="49"/>
      <c r="G255" s="50"/>
      <c r="H255" s="49"/>
      <c r="I255" s="50"/>
      <c r="J255" s="92"/>
      <c r="K255" s="128"/>
      <c r="L255" s="128"/>
      <c r="M255" s="128"/>
      <c r="N255" s="128"/>
      <c r="O255" s="128"/>
      <c r="P255" s="128"/>
      <c r="Q255" s="128"/>
      <c r="R255" s="92"/>
    </row>
    <row r="256" spans="1:18" ht="5.0999999999999996" customHeight="1" x14ac:dyDescent="0.25">
      <c r="A256" s="92"/>
      <c r="G256" s="110"/>
      <c r="I256" s="110"/>
      <c r="J256" s="92"/>
      <c r="K256" s="100"/>
      <c r="L256" s="100"/>
      <c r="M256" s="100"/>
      <c r="N256" s="100"/>
      <c r="O256" s="100"/>
      <c r="P256" s="100"/>
      <c r="Q256" s="100"/>
      <c r="R256" s="92"/>
    </row>
    <row r="257" spans="1:18" ht="12.95" customHeight="1" x14ac:dyDescent="0.25">
      <c r="A257" s="92"/>
      <c r="B257" s="245" t="s">
        <v>100</v>
      </c>
      <c r="C257" s="129" t="s">
        <v>102</v>
      </c>
      <c r="D257" s="51"/>
      <c r="E257" s="51"/>
      <c r="F257" s="51"/>
      <c r="G257" s="52"/>
      <c r="H257" s="51"/>
      <c r="I257" s="52">
        <f>SUM(I259:I268)</f>
        <v>0</v>
      </c>
      <c r="J257" s="92"/>
      <c r="K257" s="130"/>
      <c r="L257" s="130"/>
      <c r="M257" s="130"/>
      <c r="N257" s="130"/>
      <c r="O257" s="130"/>
      <c r="P257" s="130"/>
      <c r="Q257" s="130"/>
      <c r="R257" s="92"/>
    </row>
    <row r="258" spans="1:18" ht="5.0999999999999996" customHeight="1" x14ac:dyDescent="0.25">
      <c r="A258" s="92"/>
      <c r="B258" s="245"/>
      <c r="G258" s="110"/>
      <c r="I258" s="110"/>
      <c r="J258" s="92"/>
      <c r="K258" s="100"/>
      <c r="L258" s="100"/>
      <c r="M258" s="100"/>
      <c r="N258" s="100"/>
      <c r="O258" s="100"/>
      <c r="P258" s="100"/>
      <c r="Q258" s="100"/>
      <c r="R258" s="92"/>
    </row>
    <row r="259" spans="1:18" ht="12.95" customHeight="1" x14ac:dyDescent="0.25">
      <c r="A259" s="92"/>
      <c r="B259" s="245"/>
      <c r="C259" s="114"/>
      <c r="D259" s="125"/>
      <c r="E259" s="125"/>
      <c r="F259" s="125"/>
      <c r="G259" s="126"/>
      <c r="H259" s="116">
        <f>Q259</f>
        <v>1</v>
      </c>
      <c r="I259" s="110">
        <f>G259*H259</f>
        <v>0</v>
      </c>
      <c r="J259" s="92"/>
      <c r="K259" s="118">
        <v>1</v>
      </c>
      <c r="L259" s="118">
        <v>1</v>
      </c>
      <c r="M259" s="118">
        <v>1</v>
      </c>
      <c r="N259" s="118">
        <v>1</v>
      </c>
      <c r="O259" s="118">
        <v>1</v>
      </c>
      <c r="P259" s="118">
        <v>1</v>
      </c>
      <c r="Q259" s="99">
        <f>K259*L259*M259*N259*O259*P259</f>
        <v>1</v>
      </c>
      <c r="R259" s="92"/>
    </row>
    <row r="260" spans="1:18" ht="12.95" customHeight="1" x14ac:dyDescent="0.25">
      <c r="A260" s="92"/>
      <c r="B260" s="245"/>
      <c r="C260" s="114"/>
      <c r="D260" s="125"/>
      <c r="E260" s="125"/>
      <c r="F260" s="125"/>
      <c r="G260" s="126"/>
      <c r="H260" s="116">
        <f t="shared" ref="H260:H268" si="66">Q260</f>
        <v>1</v>
      </c>
      <c r="I260" s="110">
        <f t="shared" ref="I260:I268" si="67">G260*H260</f>
        <v>0</v>
      </c>
      <c r="J260" s="92"/>
      <c r="K260" s="118">
        <v>1</v>
      </c>
      <c r="L260" s="118">
        <v>1</v>
      </c>
      <c r="M260" s="118">
        <v>1</v>
      </c>
      <c r="N260" s="118">
        <v>1</v>
      </c>
      <c r="O260" s="118">
        <v>1</v>
      </c>
      <c r="P260" s="118">
        <v>1</v>
      </c>
      <c r="Q260" s="99">
        <f t="shared" ref="Q260:Q268" si="68">K260*L260*M260*N260*O260*P260</f>
        <v>1</v>
      </c>
      <c r="R260" s="92"/>
    </row>
    <row r="261" spans="1:18" ht="12.95" customHeight="1" x14ac:dyDescent="0.25">
      <c r="A261" s="92"/>
      <c r="B261" s="245"/>
      <c r="C261" s="114"/>
      <c r="D261" s="125"/>
      <c r="E261" s="125"/>
      <c r="F261" s="125"/>
      <c r="G261" s="126"/>
      <c r="H261" s="116">
        <f t="shared" si="66"/>
        <v>1</v>
      </c>
      <c r="I261" s="110">
        <f t="shared" si="67"/>
        <v>0</v>
      </c>
      <c r="J261" s="92"/>
      <c r="K261" s="118">
        <v>1</v>
      </c>
      <c r="L261" s="118">
        <v>1</v>
      </c>
      <c r="M261" s="118">
        <v>1</v>
      </c>
      <c r="N261" s="118">
        <v>1</v>
      </c>
      <c r="O261" s="118">
        <v>1</v>
      </c>
      <c r="P261" s="118">
        <v>1</v>
      </c>
      <c r="Q261" s="99">
        <f t="shared" si="68"/>
        <v>1</v>
      </c>
      <c r="R261" s="92"/>
    </row>
    <row r="262" spans="1:18" ht="12.95" customHeight="1" x14ac:dyDescent="0.25">
      <c r="A262" s="92"/>
      <c r="B262" s="245"/>
      <c r="C262" s="114"/>
      <c r="D262" s="125"/>
      <c r="E262" s="125"/>
      <c r="F262" s="125"/>
      <c r="G262" s="126"/>
      <c r="H262" s="116">
        <f t="shared" si="66"/>
        <v>1</v>
      </c>
      <c r="I262" s="110">
        <f t="shared" si="67"/>
        <v>0</v>
      </c>
      <c r="J262" s="92"/>
      <c r="K262" s="118">
        <v>1</v>
      </c>
      <c r="L262" s="118">
        <v>1</v>
      </c>
      <c r="M262" s="118">
        <v>1</v>
      </c>
      <c r="N262" s="118">
        <v>1</v>
      </c>
      <c r="O262" s="118">
        <v>1</v>
      </c>
      <c r="P262" s="118">
        <v>1</v>
      </c>
      <c r="Q262" s="99">
        <f t="shared" si="68"/>
        <v>1</v>
      </c>
      <c r="R262" s="92"/>
    </row>
    <row r="263" spans="1:18" ht="12.95" customHeight="1" x14ac:dyDescent="0.25">
      <c r="A263" s="92"/>
      <c r="B263" s="245"/>
      <c r="C263" s="114"/>
      <c r="D263" s="125"/>
      <c r="E263" s="125"/>
      <c r="F263" s="125"/>
      <c r="G263" s="126"/>
      <c r="H263" s="116">
        <f t="shared" si="66"/>
        <v>1</v>
      </c>
      <c r="I263" s="110">
        <f t="shared" si="67"/>
        <v>0</v>
      </c>
      <c r="J263" s="92"/>
      <c r="K263" s="118">
        <v>1</v>
      </c>
      <c r="L263" s="118">
        <v>1</v>
      </c>
      <c r="M263" s="118">
        <v>1</v>
      </c>
      <c r="N263" s="118">
        <v>1</v>
      </c>
      <c r="O263" s="118">
        <v>1</v>
      </c>
      <c r="P263" s="118">
        <v>1</v>
      </c>
      <c r="Q263" s="99">
        <f t="shared" si="68"/>
        <v>1</v>
      </c>
      <c r="R263" s="92"/>
    </row>
    <row r="264" spans="1:18" ht="12.95" customHeight="1" x14ac:dyDescent="0.25">
      <c r="A264" s="92"/>
      <c r="B264" s="245"/>
      <c r="C264" s="114"/>
      <c r="D264" s="125"/>
      <c r="E264" s="125"/>
      <c r="F264" s="125"/>
      <c r="G264" s="126"/>
      <c r="H264" s="116">
        <f t="shared" si="66"/>
        <v>1</v>
      </c>
      <c r="I264" s="110">
        <f t="shared" si="67"/>
        <v>0</v>
      </c>
      <c r="J264" s="92"/>
      <c r="K264" s="118">
        <v>1</v>
      </c>
      <c r="L264" s="118">
        <v>1</v>
      </c>
      <c r="M264" s="118">
        <v>1</v>
      </c>
      <c r="N264" s="118">
        <v>1</v>
      </c>
      <c r="O264" s="118">
        <v>1</v>
      </c>
      <c r="P264" s="118">
        <v>1</v>
      </c>
      <c r="Q264" s="99">
        <f t="shared" si="68"/>
        <v>1</v>
      </c>
      <c r="R264" s="92"/>
    </row>
    <row r="265" spans="1:18" ht="12.95" customHeight="1" x14ac:dyDescent="0.25">
      <c r="A265" s="92"/>
      <c r="B265" s="245"/>
      <c r="C265" s="114"/>
      <c r="D265" s="125"/>
      <c r="E265" s="125"/>
      <c r="F265" s="125"/>
      <c r="G265" s="126"/>
      <c r="H265" s="116">
        <f t="shared" si="66"/>
        <v>1</v>
      </c>
      <c r="I265" s="110">
        <f t="shared" si="67"/>
        <v>0</v>
      </c>
      <c r="J265" s="92"/>
      <c r="K265" s="118">
        <v>1</v>
      </c>
      <c r="L265" s="118">
        <v>1</v>
      </c>
      <c r="M265" s="118">
        <v>1</v>
      </c>
      <c r="N265" s="118">
        <v>1</v>
      </c>
      <c r="O265" s="118">
        <v>1</v>
      </c>
      <c r="P265" s="118">
        <v>1</v>
      </c>
      <c r="Q265" s="99">
        <f t="shared" si="68"/>
        <v>1</v>
      </c>
      <c r="R265" s="92"/>
    </row>
    <row r="266" spans="1:18" ht="12.95" customHeight="1" x14ac:dyDescent="0.25">
      <c r="A266" s="92"/>
      <c r="B266" s="245"/>
      <c r="C266" s="114"/>
      <c r="D266" s="125"/>
      <c r="E266" s="125"/>
      <c r="F266" s="125"/>
      <c r="G266" s="126"/>
      <c r="H266" s="116">
        <f t="shared" si="66"/>
        <v>1</v>
      </c>
      <c r="I266" s="110">
        <f t="shared" si="67"/>
        <v>0</v>
      </c>
      <c r="J266" s="92"/>
      <c r="K266" s="118">
        <v>1</v>
      </c>
      <c r="L266" s="118">
        <v>1</v>
      </c>
      <c r="M266" s="118">
        <v>1</v>
      </c>
      <c r="N266" s="118">
        <v>1</v>
      </c>
      <c r="O266" s="118">
        <v>1</v>
      </c>
      <c r="P266" s="118">
        <v>1</v>
      </c>
      <c r="Q266" s="99">
        <f t="shared" si="68"/>
        <v>1</v>
      </c>
      <c r="R266" s="92"/>
    </row>
    <row r="267" spans="1:18" ht="12.95" customHeight="1" x14ac:dyDescent="0.25">
      <c r="A267" s="92"/>
      <c r="B267" s="245"/>
      <c r="C267" s="114"/>
      <c r="D267" s="125"/>
      <c r="E267" s="125"/>
      <c r="F267" s="125"/>
      <c r="G267" s="126"/>
      <c r="H267" s="116">
        <f t="shared" si="66"/>
        <v>1</v>
      </c>
      <c r="I267" s="110">
        <f t="shared" si="67"/>
        <v>0</v>
      </c>
      <c r="J267" s="92"/>
      <c r="K267" s="118">
        <v>1</v>
      </c>
      <c r="L267" s="118">
        <v>1</v>
      </c>
      <c r="M267" s="118">
        <v>1</v>
      </c>
      <c r="N267" s="118">
        <v>1</v>
      </c>
      <c r="O267" s="118">
        <v>1</v>
      </c>
      <c r="P267" s="118">
        <v>1</v>
      </c>
      <c r="Q267" s="99">
        <f t="shared" si="68"/>
        <v>1</v>
      </c>
      <c r="R267" s="92"/>
    </row>
    <row r="268" spans="1:18" ht="12.95" customHeight="1" x14ac:dyDescent="0.25">
      <c r="A268" s="92"/>
      <c r="B268" s="245"/>
      <c r="C268" s="114"/>
      <c r="D268" s="125"/>
      <c r="E268" s="125"/>
      <c r="F268" s="125"/>
      <c r="G268" s="126"/>
      <c r="H268" s="116">
        <f t="shared" si="66"/>
        <v>1</v>
      </c>
      <c r="I268" s="110">
        <f t="shared" si="67"/>
        <v>0</v>
      </c>
      <c r="J268" s="92"/>
      <c r="K268" s="118">
        <v>1</v>
      </c>
      <c r="L268" s="118">
        <v>1</v>
      </c>
      <c r="M268" s="118">
        <v>1</v>
      </c>
      <c r="N268" s="118">
        <v>1</v>
      </c>
      <c r="O268" s="118">
        <v>1</v>
      </c>
      <c r="P268" s="118">
        <v>1</v>
      </c>
      <c r="Q268" s="99">
        <f t="shared" si="68"/>
        <v>1</v>
      </c>
      <c r="R268" s="92"/>
    </row>
    <row r="269" spans="1:18" ht="5.0999999999999996" customHeight="1" x14ac:dyDescent="0.25">
      <c r="A269" s="92"/>
      <c r="C269" s="123" t="s">
        <v>12</v>
      </c>
      <c r="G269" s="110"/>
      <c r="I269" s="110"/>
      <c r="J269" s="92"/>
      <c r="K269" s="100"/>
      <c r="L269" s="100"/>
      <c r="M269" s="100"/>
      <c r="N269" s="100"/>
      <c r="O269" s="100"/>
      <c r="P269" s="100"/>
      <c r="Q269" s="100"/>
      <c r="R269" s="92"/>
    </row>
    <row r="270" spans="1:18" ht="12.95" customHeight="1" x14ac:dyDescent="0.25">
      <c r="A270" s="92"/>
      <c r="B270" s="245" t="s">
        <v>101</v>
      </c>
      <c r="C270" s="129" t="s">
        <v>103</v>
      </c>
      <c r="D270" s="51"/>
      <c r="E270" s="51"/>
      <c r="F270" s="51"/>
      <c r="G270" s="52"/>
      <c r="H270" s="51"/>
      <c r="I270" s="52">
        <f>SUM(I272:I281)</f>
        <v>0</v>
      </c>
      <c r="J270" s="92"/>
      <c r="K270" s="130"/>
      <c r="L270" s="130"/>
      <c r="M270" s="130"/>
      <c r="N270" s="130"/>
      <c r="O270" s="130"/>
      <c r="P270" s="130"/>
      <c r="Q270" s="130"/>
      <c r="R270" s="92"/>
    </row>
    <row r="271" spans="1:18" ht="5.0999999999999996" customHeight="1" x14ac:dyDescent="0.25">
      <c r="A271" s="92"/>
      <c r="B271" s="245"/>
      <c r="G271" s="110"/>
      <c r="I271" s="110"/>
      <c r="J271" s="92"/>
      <c r="K271" s="100"/>
      <c r="L271" s="100"/>
      <c r="M271" s="100"/>
      <c r="N271" s="100"/>
      <c r="O271" s="100"/>
      <c r="P271" s="100"/>
      <c r="Q271" s="100"/>
      <c r="R271" s="92"/>
    </row>
    <row r="272" spans="1:18" ht="12.95" customHeight="1" x14ac:dyDescent="0.25">
      <c r="A272" s="92"/>
      <c r="B272" s="245"/>
      <c r="C272" s="114"/>
      <c r="D272" s="125"/>
      <c r="E272" s="125"/>
      <c r="F272" s="125"/>
      <c r="G272" s="126"/>
      <c r="H272" s="116">
        <f>Q272</f>
        <v>1</v>
      </c>
      <c r="I272" s="110">
        <f>G272*H272</f>
        <v>0</v>
      </c>
      <c r="J272" s="92"/>
      <c r="K272" s="118">
        <v>1</v>
      </c>
      <c r="L272" s="118">
        <v>1</v>
      </c>
      <c r="M272" s="118">
        <v>1</v>
      </c>
      <c r="N272" s="118">
        <v>1</v>
      </c>
      <c r="O272" s="118">
        <v>1</v>
      </c>
      <c r="P272" s="118">
        <v>1</v>
      </c>
      <c r="Q272" s="99">
        <f>K272*L272*M272*N272*O272*P272</f>
        <v>1</v>
      </c>
      <c r="R272" s="92"/>
    </row>
    <row r="273" spans="1:18" ht="12.95" customHeight="1" x14ac:dyDescent="0.25">
      <c r="A273" s="92"/>
      <c r="B273" s="245"/>
      <c r="C273" s="114"/>
      <c r="D273" s="125"/>
      <c r="E273" s="125"/>
      <c r="F273" s="125"/>
      <c r="G273" s="126"/>
      <c r="H273" s="116">
        <f t="shared" ref="H273:H281" si="69">Q273</f>
        <v>1</v>
      </c>
      <c r="I273" s="110">
        <f t="shared" ref="I273:I281" si="70">G273*H273</f>
        <v>0</v>
      </c>
      <c r="J273" s="92"/>
      <c r="K273" s="118">
        <v>1</v>
      </c>
      <c r="L273" s="118">
        <v>1</v>
      </c>
      <c r="M273" s="118">
        <v>1</v>
      </c>
      <c r="N273" s="118">
        <v>1</v>
      </c>
      <c r="O273" s="118">
        <v>1</v>
      </c>
      <c r="P273" s="118">
        <v>1</v>
      </c>
      <c r="Q273" s="99">
        <f t="shared" ref="Q273:Q281" si="71">K273*L273*M273*N273*O273*P273</f>
        <v>1</v>
      </c>
      <c r="R273" s="92"/>
    </row>
    <row r="274" spans="1:18" ht="12.95" customHeight="1" x14ac:dyDescent="0.25">
      <c r="A274" s="92"/>
      <c r="B274" s="245"/>
      <c r="C274" s="114"/>
      <c r="D274" s="125"/>
      <c r="E274" s="125"/>
      <c r="F274" s="125"/>
      <c r="G274" s="126"/>
      <c r="H274" s="116">
        <f t="shared" si="69"/>
        <v>1</v>
      </c>
      <c r="I274" s="110">
        <f t="shared" si="70"/>
        <v>0</v>
      </c>
      <c r="J274" s="92"/>
      <c r="K274" s="118">
        <v>1</v>
      </c>
      <c r="L274" s="118">
        <v>1</v>
      </c>
      <c r="M274" s="118">
        <v>1</v>
      </c>
      <c r="N274" s="118">
        <v>1</v>
      </c>
      <c r="O274" s="118">
        <v>1</v>
      </c>
      <c r="P274" s="118">
        <v>1</v>
      </c>
      <c r="Q274" s="99">
        <f t="shared" si="71"/>
        <v>1</v>
      </c>
      <c r="R274" s="92"/>
    </row>
    <row r="275" spans="1:18" ht="12.95" customHeight="1" x14ac:dyDescent="0.25">
      <c r="A275" s="92"/>
      <c r="B275" s="245"/>
      <c r="C275" s="114"/>
      <c r="D275" s="125"/>
      <c r="E275" s="125"/>
      <c r="F275" s="125"/>
      <c r="G275" s="126"/>
      <c r="H275" s="116">
        <f t="shared" si="69"/>
        <v>1</v>
      </c>
      <c r="I275" s="110">
        <f t="shared" si="70"/>
        <v>0</v>
      </c>
      <c r="J275" s="92"/>
      <c r="K275" s="118">
        <v>1</v>
      </c>
      <c r="L275" s="118">
        <v>1</v>
      </c>
      <c r="M275" s="118">
        <v>1</v>
      </c>
      <c r="N275" s="118">
        <v>1</v>
      </c>
      <c r="O275" s="118">
        <v>1</v>
      </c>
      <c r="P275" s="118">
        <v>1</v>
      </c>
      <c r="Q275" s="99">
        <f t="shared" si="71"/>
        <v>1</v>
      </c>
      <c r="R275" s="92"/>
    </row>
    <row r="276" spans="1:18" ht="12.95" customHeight="1" x14ac:dyDescent="0.25">
      <c r="A276" s="92"/>
      <c r="B276" s="245"/>
      <c r="C276" s="114"/>
      <c r="D276" s="125"/>
      <c r="E276" s="125"/>
      <c r="F276" s="125"/>
      <c r="G276" s="126"/>
      <c r="H276" s="116">
        <f t="shared" si="69"/>
        <v>1</v>
      </c>
      <c r="I276" s="110">
        <f t="shared" si="70"/>
        <v>0</v>
      </c>
      <c r="J276" s="92"/>
      <c r="K276" s="118">
        <v>1</v>
      </c>
      <c r="L276" s="118">
        <v>1</v>
      </c>
      <c r="M276" s="118">
        <v>1</v>
      </c>
      <c r="N276" s="118">
        <v>1</v>
      </c>
      <c r="O276" s="118">
        <v>1</v>
      </c>
      <c r="P276" s="118">
        <v>1</v>
      </c>
      <c r="Q276" s="99">
        <f t="shared" si="71"/>
        <v>1</v>
      </c>
      <c r="R276" s="92"/>
    </row>
    <row r="277" spans="1:18" ht="12.95" customHeight="1" x14ac:dyDescent="0.25">
      <c r="A277" s="92"/>
      <c r="B277" s="245"/>
      <c r="C277" s="114"/>
      <c r="D277" s="125"/>
      <c r="E277" s="125"/>
      <c r="F277" s="125"/>
      <c r="G277" s="126"/>
      <c r="H277" s="116">
        <f t="shared" si="69"/>
        <v>1</v>
      </c>
      <c r="I277" s="110">
        <f t="shared" si="70"/>
        <v>0</v>
      </c>
      <c r="J277" s="92"/>
      <c r="K277" s="118">
        <v>1</v>
      </c>
      <c r="L277" s="118">
        <v>1</v>
      </c>
      <c r="M277" s="118">
        <v>1</v>
      </c>
      <c r="N277" s="118">
        <v>1</v>
      </c>
      <c r="O277" s="118">
        <v>1</v>
      </c>
      <c r="P277" s="118">
        <v>1</v>
      </c>
      <c r="Q277" s="99">
        <f t="shared" si="71"/>
        <v>1</v>
      </c>
      <c r="R277" s="92"/>
    </row>
    <row r="278" spans="1:18" ht="12.95" customHeight="1" x14ac:dyDescent="0.25">
      <c r="A278" s="92"/>
      <c r="B278" s="245"/>
      <c r="C278" s="114"/>
      <c r="D278" s="125"/>
      <c r="E278" s="125"/>
      <c r="F278" s="125"/>
      <c r="G278" s="126"/>
      <c r="H278" s="116">
        <f t="shared" si="69"/>
        <v>1</v>
      </c>
      <c r="I278" s="110">
        <f t="shared" si="70"/>
        <v>0</v>
      </c>
      <c r="J278" s="92"/>
      <c r="K278" s="118">
        <v>1</v>
      </c>
      <c r="L278" s="118">
        <v>1</v>
      </c>
      <c r="M278" s="118">
        <v>1</v>
      </c>
      <c r="N278" s="118">
        <v>1</v>
      </c>
      <c r="O278" s="118">
        <v>1</v>
      </c>
      <c r="P278" s="118">
        <v>1</v>
      </c>
      <c r="Q278" s="99">
        <f t="shared" si="71"/>
        <v>1</v>
      </c>
      <c r="R278" s="92"/>
    </row>
    <row r="279" spans="1:18" ht="12.95" customHeight="1" x14ac:dyDescent="0.25">
      <c r="A279" s="92"/>
      <c r="B279" s="245"/>
      <c r="C279" s="114"/>
      <c r="D279" s="125"/>
      <c r="E279" s="125"/>
      <c r="F279" s="125"/>
      <c r="G279" s="126"/>
      <c r="H279" s="116">
        <f t="shared" si="69"/>
        <v>1</v>
      </c>
      <c r="I279" s="110">
        <f t="shared" si="70"/>
        <v>0</v>
      </c>
      <c r="J279" s="92"/>
      <c r="K279" s="118">
        <v>1</v>
      </c>
      <c r="L279" s="118">
        <v>1</v>
      </c>
      <c r="M279" s="118">
        <v>1</v>
      </c>
      <c r="N279" s="118">
        <v>1</v>
      </c>
      <c r="O279" s="118">
        <v>1</v>
      </c>
      <c r="P279" s="118">
        <v>1</v>
      </c>
      <c r="Q279" s="99">
        <f t="shared" si="71"/>
        <v>1</v>
      </c>
      <c r="R279" s="92"/>
    </row>
    <row r="280" spans="1:18" ht="12.95" customHeight="1" x14ac:dyDescent="0.25">
      <c r="A280" s="92"/>
      <c r="B280" s="245"/>
      <c r="C280" s="114"/>
      <c r="D280" s="125"/>
      <c r="E280" s="125"/>
      <c r="F280" s="125"/>
      <c r="G280" s="126"/>
      <c r="H280" s="116">
        <f t="shared" si="69"/>
        <v>1</v>
      </c>
      <c r="I280" s="110">
        <f t="shared" si="70"/>
        <v>0</v>
      </c>
      <c r="J280" s="92"/>
      <c r="K280" s="118">
        <v>1</v>
      </c>
      <c r="L280" s="118">
        <v>1</v>
      </c>
      <c r="M280" s="118">
        <v>1</v>
      </c>
      <c r="N280" s="118">
        <v>1</v>
      </c>
      <c r="O280" s="118">
        <v>1</v>
      </c>
      <c r="P280" s="118">
        <v>1</v>
      </c>
      <c r="Q280" s="99">
        <f t="shared" si="71"/>
        <v>1</v>
      </c>
      <c r="R280" s="92"/>
    </row>
    <row r="281" spans="1:18" ht="12.95" customHeight="1" x14ac:dyDescent="0.25">
      <c r="A281" s="92"/>
      <c r="B281" s="245"/>
      <c r="C281" s="114"/>
      <c r="D281" s="125"/>
      <c r="E281" s="125"/>
      <c r="F281" s="125"/>
      <c r="G281" s="126"/>
      <c r="H281" s="116">
        <f t="shared" si="69"/>
        <v>1</v>
      </c>
      <c r="I281" s="110">
        <f t="shared" si="70"/>
        <v>0</v>
      </c>
      <c r="J281" s="92"/>
      <c r="K281" s="118">
        <v>1</v>
      </c>
      <c r="L281" s="118">
        <v>1</v>
      </c>
      <c r="M281" s="118">
        <v>1</v>
      </c>
      <c r="N281" s="118">
        <v>1</v>
      </c>
      <c r="O281" s="118">
        <v>1</v>
      </c>
      <c r="P281" s="118">
        <v>1</v>
      </c>
      <c r="Q281" s="99">
        <f t="shared" si="71"/>
        <v>1</v>
      </c>
      <c r="R281" s="92"/>
    </row>
    <row r="282" spans="1:18" ht="5.0999999999999996" customHeight="1" x14ac:dyDescent="0.25">
      <c r="A282" s="92"/>
      <c r="C282" s="123" t="s">
        <v>12</v>
      </c>
      <c r="G282" s="110"/>
      <c r="I282" s="110"/>
      <c r="J282" s="92"/>
      <c r="K282" s="100"/>
      <c r="L282" s="100"/>
      <c r="M282" s="100"/>
      <c r="N282" s="100"/>
      <c r="O282" s="100"/>
      <c r="P282" s="100"/>
      <c r="Q282" s="100"/>
      <c r="R282" s="92"/>
    </row>
    <row r="283" spans="1:18" ht="12.95" customHeight="1" x14ac:dyDescent="0.25">
      <c r="A283" s="92"/>
      <c r="B283" s="54">
        <v>3</v>
      </c>
      <c r="C283" s="55" t="s">
        <v>104</v>
      </c>
      <c r="D283" s="56"/>
      <c r="E283" s="56"/>
      <c r="F283" s="56"/>
      <c r="G283" s="57"/>
      <c r="H283" s="56"/>
      <c r="I283" s="57"/>
      <c r="J283" s="92"/>
      <c r="K283" s="132"/>
      <c r="L283" s="132"/>
      <c r="M283" s="132"/>
      <c r="N283" s="132"/>
      <c r="O283" s="132"/>
      <c r="P283" s="132"/>
      <c r="Q283" s="132"/>
      <c r="R283" s="92"/>
    </row>
    <row r="284" spans="1:18" ht="5.0999999999999996" customHeight="1" x14ac:dyDescent="0.25">
      <c r="A284" s="92"/>
      <c r="G284" s="110"/>
      <c r="I284" s="110"/>
      <c r="J284" s="92"/>
      <c r="K284" s="100"/>
      <c r="L284" s="100"/>
      <c r="M284" s="100"/>
      <c r="N284" s="100"/>
      <c r="O284" s="100"/>
      <c r="P284" s="100"/>
      <c r="Q284" s="100"/>
      <c r="R284" s="92"/>
    </row>
    <row r="285" spans="1:18" ht="12.95" customHeight="1" x14ac:dyDescent="0.25">
      <c r="A285" s="92"/>
      <c r="B285" s="253" t="s">
        <v>105</v>
      </c>
      <c r="C285" s="58" t="s">
        <v>106</v>
      </c>
      <c r="D285" s="59"/>
      <c r="E285" s="59"/>
      <c r="F285" s="59"/>
      <c r="G285" s="60"/>
      <c r="H285" s="59"/>
      <c r="I285" s="60">
        <f>SUM(I287:I296)</f>
        <v>0</v>
      </c>
      <c r="J285" s="92"/>
      <c r="K285" s="133"/>
      <c r="L285" s="133"/>
      <c r="M285" s="133"/>
      <c r="N285" s="133"/>
      <c r="O285" s="133"/>
      <c r="P285" s="133"/>
      <c r="Q285" s="133"/>
      <c r="R285" s="92"/>
    </row>
    <row r="286" spans="1:18" ht="5.0999999999999996" customHeight="1" x14ac:dyDescent="0.25">
      <c r="A286" s="92"/>
      <c r="B286" s="253"/>
      <c r="G286" s="110"/>
      <c r="I286" s="110"/>
      <c r="J286" s="92"/>
      <c r="K286" s="100"/>
      <c r="L286" s="100"/>
      <c r="M286" s="100"/>
      <c r="N286" s="100"/>
      <c r="O286" s="100"/>
      <c r="P286" s="100"/>
      <c r="Q286" s="100"/>
      <c r="R286" s="92"/>
    </row>
    <row r="287" spans="1:18" ht="12.95" customHeight="1" x14ac:dyDescent="0.25">
      <c r="A287" s="92"/>
      <c r="B287" s="253"/>
      <c r="C287" s="114"/>
      <c r="D287" s="125"/>
      <c r="E287" s="125"/>
      <c r="F287" s="125"/>
      <c r="G287" s="126"/>
      <c r="H287" s="116">
        <f>Q287</f>
        <v>1</v>
      </c>
      <c r="I287" s="110">
        <f>G287*H287</f>
        <v>0</v>
      </c>
      <c r="J287" s="92"/>
      <c r="K287" s="118">
        <v>1</v>
      </c>
      <c r="L287" s="118">
        <v>1</v>
      </c>
      <c r="M287" s="118">
        <v>1</v>
      </c>
      <c r="N287" s="118">
        <v>1</v>
      </c>
      <c r="O287" s="118">
        <v>1</v>
      </c>
      <c r="P287" s="118">
        <v>1</v>
      </c>
      <c r="Q287" s="99">
        <f>K287*L287*M287*N287*O287*P287</f>
        <v>1</v>
      </c>
      <c r="R287" s="92"/>
    </row>
    <row r="288" spans="1:18" ht="12.95" customHeight="1" x14ac:dyDescent="0.25">
      <c r="A288" s="92"/>
      <c r="B288" s="253"/>
      <c r="C288" s="114"/>
      <c r="D288" s="125"/>
      <c r="E288" s="125"/>
      <c r="F288" s="125"/>
      <c r="G288" s="126"/>
      <c r="H288" s="116">
        <f t="shared" ref="H288:H296" si="72">Q288</f>
        <v>1</v>
      </c>
      <c r="I288" s="110">
        <f t="shared" ref="I288:I296" si="73">G288*H288</f>
        <v>0</v>
      </c>
      <c r="J288" s="92"/>
      <c r="K288" s="118">
        <v>1</v>
      </c>
      <c r="L288" s="118">
        <v>1</v>
      </c>
      <c r="M288" s="118">
        <v>1</v>
      </c>
      <c r="N288" s="118">
        <v>1</v>
      </c>
      <c r="O288" s="118">
        <v>1</v>
      </c>
      <c r="P288" s="118">
        <v>1</v>
      </c>
      <c r="Q288" s="99">
        <f t="shared" ref="Q288:Q296" si="74">K288*L288*M288*N288*O288*P288</f>
        <v>1</v>
      </c>
      <c r="R288" s="92"/>
    </row>
    <row r="289" spans="1:18" ht="12.95" customHeight="1" x14ac:dyDescent="0.25">
      <c r="A289" s="92"/>
      <c r="B289" s="253"/>
      <c r="C289" s="114"/>
      <c r="D289" s="125"/>
      <c r="E289" s="125"/>
      <c r="F289" s="125"/>
      <c r="G289" s="126"/>
      <c r="H289" s="116">
        <f t="shared" si="72"/>
        <v>1</v>
      </c>
      <c r="I289" s="110">
        <f t="shared" si="73"/>
        <v>0</v>
      </c>
      <c r="J289" s="92"/>
      <c r="K289" s="118">
        <v>1</v>
      </c>
      <c r="L289" s="118">
        <v>1</v>
      </c>
      <c r="M289" s="118">
        <v>1</v>
      </c>
      <c r="N289" s="118">
        <v>1</v>
      </c>
      <c r="O289" s="118">
        <v>1</v>
      </c>
      <c r="P289" s="118">
        <v>1</v>
      </c>
      <c r="Q289" s="99">
        <f t="shared" si="74"/>
        <v>1</v>
      </c>
      <c r="R289" s="92"/>
    </row>
    <row r="290" spans="1:18" ht="12.95" customHeight="1" x14ac:dyDescent="0.25">
      <c r="A290" s="92"/>
      <c r="B290" s="253"/>
      <c r="C290" s="114"/>
      <c r="D290" s="125"/>
      <c r="E290" s="125"/>
      <c r="F290" s="125"/>
      <c r="G290" s="126"/>
      <c r="H290" s="116">
        <f t="shared" si="72"/>
        <v>1</v>
      </c>
      <c r="I290" s="110">
        <f t="shared" si="73"/>
        <v>0</v>
      </c>
      <c r="J290" s="92"/>
      <c r="K290" s="118">
        <v>1</v>
      </c>
      <c r="L290" s="118">
        <v>1</v>
      </c>
      <c r="M290" s="118">
        <v>1</v>
      </c>
      <c r="N290" s="118">
        <v>1</v>
      </c>
      <c r="O290" s="118">
        <v>1</v>
      </c>
      <c r="P290" s="118">
        <v>1</v>
      </c>
      <c r="Q290" s="99">
        <f t="shared" si="74"/>
        <v>1</v>
      </c>
      <c r="R290" s="92"/>
    </row>
    <row r="291" spans="1:18" ht="12.95" customHeight="1" x14ac:dyDescent="0.25">
      <c r="A291" s="92"/>
      <c r="B291" s="253"/>
      <c r="C291" s="114"/>
      <c r="D291" s="125"/>
      <c r="E291" s="125"/>
      <c r="F291" s="125"/>
      <c r="G291" s="126"/>
      <c r="H291" s="116">
        <f t="shared" si="72"/>
        <v>1</v>
      </c>
      <c r="I291" s="110">
        <f t="shared" si="73"/>
        <v>0</v>
      </c>
      <c r="J291" s="92"/>
      <c r="K291" s="118">
        <v>1</v>
      </c>
      <c r="L291" s="118">
        <v>1</v>
      </c>
      <c r="M291" s="118">
        <v>1</v>
      </c>
      <c r="N291" s="118">
        <v>1</v>
      </c>
      <c r="O291" s="118">
        <v>1</v>
      </c>
      <c r="P291" s="118">
        <v>1</v>
      </c>
      <c r="Q291" s="99">
        <f t="shared" si="74"/>
        <v>1</v>
      </c>
      <c r="R291" s="92"/>
    </row>
    <row r="292" spans="1:18" ht="12.95" customHeight="1" x14ac:dyDescent="0.25">
      <c r="A292" s="92"/>
      <c r="B292" s="253"/>
      <c r="C292" s="114"/>
      <c r="D292" s="125"/>
      <c r="E292" s="125"/>
      <c r="F292" s="125"/>
      <c r="G292" s="126"/>
      <c r="H292" s="116">
        <f t="shared" si="72"/>
        <v>1</v>
      </c>
      <c r="I292" s="110">
        <f t="shared" si="73"/>
        <v>0</v>
      </c>
      <c r="J292" s="92"/>
      <c r="K292" s="118">
        <v>1</v>
      </c>
      <c r="L292" s="118">
        <v>1</v>
      </c>
      <c r="M292" s="118">
        <v>1</v>
      </c>
      <c r="N292" s="118">
        <v>1</v>
      </c>
      <c r="O292" s="118">
        <v>1</v>
      </c>
      <c r="P292" s="118">
        <v>1</v>
      </c>
      <c r="Q292" s="99">
        <f t="shared" si="74"/>
        <v>1</v>
      </c>
      <c r="R292" s="92"/>
    </row>
    <row r="293" spans="1:18" ht="12.95" customHeight="1" x14ac:dyDescent="0.25">
      <c r="A293" s="92"/>
      <c r="B293" s="253"/>
      <c r="C293" s="114"/>
      <c r="D293" s="125"/>
      <c r="E293" s="125"/>
      <c r="F293" s="125"/>
      <c r="G293" s="126"/>
      <c r="H293" s="116">
        <f t="shared" si="72"/>
        <v>1</v>
      </c>
      <c r="I293" s="110">
        <f t="shared" si="73"/>
        <v>0</v>
      </c>
      <c r="J293" s="92"/>
      <c r="K293" s="118">
        <v>1</v>
      </c>
      <c r="L293" s="118">
        <v>1</v>
      </c>
      <c r="M293" s="118">
        <v>1</v>
      </c>
      <c r="N293" s="118">
        <v>1</v>
      </c>
      <c r="O293" s="118">
        <v>1</v>
      </c>
      <c r="P293" s="118">
        <v>1</v>
      </c>
      <c r="Q293" s="99">
        <f t="shared" si="74"/>
        <v>1</v>
      </c>
      <c r="R293" s="92"/>
    </row>
    <row r="294" spans="1:18" ht="12.95" customHeight="1" x14ac:dyDescent="0.25">
      <c r="A294" s="92"/>
      <c r="B294" s="253"/>
      <c r="C294" s="114"/>
      <c r="D294" s="125"/>
      <c r="E294" s="125"/>
      <c r="F294" s="125"/>
      <c r="G294" s="126"/>
      <c r="H294" s="116">
        <f t="shared" si="72"/>
        <v>1</v>
      </c>
      <c r="I294" s="110">
        <f t="shared" si="73"/>
        <v>0</v>
      </c>
      <c r="J294" s="92"/>
      <c r="K294" s="118">
        <v>1</v>
      </c>
      <c r="L294" s="118">
        <v>1</v>
      </c>
      <c r="M294" s="118">
        <v>1</v>
      </c>
      <c r="N294" s="118">
        <v>1</v>
      </c>
      <c r="O294" s="118">
        <v>1</v>
      </c>
      <c r="P294" s="118">
        <v>1</v>
      </c>
      <c r="Q294" s="99">
        <f t="shared" si="74"/>
        <v>1</v>
      </c>
      <c r="R294" s="92"/>
    </row>
    <row r="295" spans="1:18" ht="12.95" customHeight="1" x14ac:dyDescent="0.25">
      <c r="A295" s="92"/>
      <c r="B295" s="253"/>
      <c r="C295" s="114"/>
      <c r="D295" s="125"/>
      <c r="E295" s="125"/>
      <c r="F295" s="125"/>
      <c r="G295" s="126"/>
      <c r="H295" s="116">
        <f t="shared" si="72"/>
        <v>1</v>
      </c>
      <c r="I295" s="110">
        <f t="shared" si="73"/>
        <v>0</v>
      </c>
      <c r="J295" s="92"/>
      <c r="K295" s="118">
        <v>1</v>
      </c>
      <c r="L295" s="118">
        <v>1</v>
      </c>
      <c r="M295" s="118">
        <v>1</v>
      </c>
      <c r="N295" s="118">
        <v>1</v>
      </c>
      <c r="O295" s="118">
        <v>1</v>
      </c>
      <c r="P295" s="118">
        <v>1</v>
      </c>
      <c r="Q295" s="99">
        <f t="shared" si="74"/>
        <v>1</v>
      </c>
      <c r="R295" s="92"/>
    </row>
    <row r="296" spans="1:18" ht="12.95" customHeight="1" x14ac:dyDescent="0.25">
      <c r="A296" s="92"/>
      <c r="B296" s="253"/>
      <c r="C296" s="114"/>
      <c r="D296" s="125"/>
      <c r="E296" s="125"/>
      <c r="F296" s="125"/>
      <c r="G296" s="126"/>
      <c r="H296" s="116">
        <f t="shared" si="72"/>
        <v>1</v>
      </c>
      <c r="I296" s="110">
        <f t="shared" si="73"/>
        <v>0</v>
      </c>
      <c r="J296" s="92"/>
      <c r="K296" s="118">
        <v>1</v>
      </c>
      <c r="L296" s="118">
        <v>1</v>
      </c>
      <c r="M296" s="118">
        <v>1</v>
      </c>
      <c r="N296" s="118">
        <v>1</v>
      </c>
      <c r="O296" s="118">
        <v>1</v>
      </c>
      <c r="P296" s="118">
        <v>1</v>
      </c>
      <c r="Q296" s="99">
        <f t="shared" si="74"/>
        <v>1</v>
      </c>
      <c r="R296" s="92"/>
    </row>
    <row r="297" spans="1:18" ht="5.0999999999999996" customHeight="1" x14ac:dyDescent="0.25">
      <c r="A297" s="92"/>
      <c r="C297" s="123" t="s">
        <v>12</v>
      </c>
      <c r="G297" s="110"/>
      <c r="I297" s="110"/>
      <c r="J297" s="92"/>
      <c r="K297" s="100"/>
      <c r="L297" s="100"/>
      <c r="M297" s="100"/>
      <c r="N297" s="100"/>
      <c r="O297" s="100"/>
      <c r="P297" s="100"/>
      <c r="Q297" s="100"/>
      <c r="R297" s="92"/>
    </row>
    <row r="298" spans="1:18" ht="12.95" customHeight="1" x14ac:dyDescent="0.25">
      <c r="A298" s="92"/>
      <c r="B298" s="253" t="s">
        <v>107</v>
      </c>
      <c r="C298" s="58" t="s">
        <v>108</v>
      </c>
      <c r="D298" s="59"/>
      <c r="E298" s="59"/>
      <c r="F298" s="59"/>
      <c r="G298" s="60"/>
      <c r="H298" s="59"/>
      <c r="I298" s="60">
        <f>SUM(I300:I309)</f>
        <v>0</v>
      </c>
      <c r="J298" s="92"/>
      <c r="K298" s="133"/>
      <c r="L298" s="133"/>
      <c r="M298" s="133"/>
      <c r="N298" s="133"/>
      <c r="O298" s="133"/>
      <c r="P298" s="133"/>
      <c r="Q298" s="133"/>
      <c r="R298" s="92"/>
    </row>
    <row r="299" spans="1:18" ht="5.0999999999999996" customHeight="1" x14ac:dyDescent="0.25">
      <c r="A299" s="92"/>
      <c r="B299" s="253"/>
      <c r="G299" s="110"/>
      <c r="I299" s="110"/>
      <c r="J299" s="92"/>
      <c r="K299" s="100"/>
      <c r="L299" s="100"/>
      <c r="M299" s="100"/>
      <c r="N299" s="100"/>
      <c r="O299" s="100"/>
      <c r="P299" s="100"/>
      <c r="Q299" s="100"/>
      <c r="R299" s="92"/>
    </row>
    <row r="300" spans="1:18" ht="12.95" customHeight="1" x14ac:dyDescent="0.25">
      <c r="A300" s="92"/>
      <c r="B300" s="253"/>
      <c r="C300" s="114"/>
      <c r="D300" s="125"/>
      <c r="E300" s="125"/>
      <c r="F300" s="125"/>
      <c r="G300" s="126"/>
      <c r="H300" s="116">
        <f>Q300</f>
        <v>1</v>
      </c>
      <c r="I300" s="110">
        <f>G300*H300</f>
        <v>0</v>
      </c>
      <c r="J300" s="92"/>
      <c r="K300" s="118">
        <v>1</v>
      </c>
      <c r="L300" s="118">
        <v>1</v>
      </c>
      <c r="M300" s="118">
        <v>1</v>
      </c>
      <c r="N300" s="118">
        <v>1</v>
      </c>
      <c r="O300" s="118">
        <v>1</v>
      </c>
      <c r="P300" s="118">
        <v>1</v>
      </c>
      <c r="Q300" s="99">
        <f>K300*L300*M300*N300*O300*P300</f>
        <v>1</v>
      </c>
      <c r="R300" s="92"/>
    </row>
    <row r="301" spans="1:18" ht="12.95" customHeight="1" x14ac:dyDescent="0.25">
      <c r="A301" s="92"/>
      <c r="B301" s="253"/>
      <c r="C301" s="114"/>
      <c r="D301" s="125"/>
      <c r="E301" s="125"/>
      <c r="F301" s="125"/>
      <c r="G301" s="126"/>
      <c r="H301" s="116">
        <f t="shared" ref="H301:H309" si="75">Q301</f>
        <v>1</v>
      </c>
      <c r="I301" s="110">
        <f t="shared" ref="I301:I309" si="76">G301*H301</f>
        <v>0</v>
      </c>
      <c r="J301" s="92"/>
      <c r="K301" s="118">
        <v>1</v>
      </c>
      <c r="L301" s="118">
        <v>1</v>
      </c>
      <c r="M301" s="118">
        <v>1</v>
      </c>
      <c r="N301" s="118">
        <v>1</v>
      </c>
      <c r="O301" s="118">
        <v>1</v>
      </c>
      <c r="P301" s="118">
        <v>1</v>
      </c>
      <c r="Q301" s="99">
        <f t="shared" ref="Q301:Q309" si="77">K301*L301*M301*N301*O301*P301</f>
        <v>1</v>
      </c>
      <c r="R301" s="92"/>
    </row>
    <row r="302" spans="1:18" ht="12.95" customHeight="1" x14ac:dyDescent="0.25">
      <c r="A302" s="92"/>
      <c r="B302" s="253"/>
      <c r="C302" s="114"/>
      <c r="D302" s="125"/>
      <c r="E302" s="125"/>
      <c r="F302" s="125"/>
      <c r="G302" s="126"/>
      <c r="H302" s="116">
        <f t="shared" si="75"/>
        <v>1</v>
      </c>
      <c r="I302" s="110">
        <f t="shared" si="76"/>
        <v>0</v>
      </c>
      <c r="J302" s="92"/>
      <c r="K302" s="118">
        <v>1</v>
      </c>
      <c r="L302" s="118">
        <v>1</v>
      </c>
      <c r="M302" s="118">
        <v>1</v>
      </c>
      <c r="N302" s="118">
        <v>1</v>
      </c>
      <c r="O302" s="118">
        <v>1</v>
      </c>
      <c r="P302" s="118">
        <v>1</v>
      </c>
      <c r="Q302" s="99">
        <f t="shared" si="77"/>
        <v>1</v>
      </c>
      <c r="R302" s="92"/>
    </row>
    <row r="303" spans="1:18" ht="12.95" customHeight="1" x14ac:dyDescent="0.25">
      <c r="A303" s="92"/>
      <c r="B303" s="253"/>
      <c r="C303" s="114"/>
      <c r="D303" s="125"/>
      <c r="E303" s="125"/>
      <c r="F303" s="125"/>
      <c r="G303" s="126"/>
      <c r="H303" s="116">
        <f t="shared" si="75"/>
        <v>1</v>
      </c>
      <c r="I303" s="110">
        <f t="shared" si="76"/>
        <v>0</v>
      </c>
      <c r="J303" s="92"/>
      <c r="K303" s="118">
        <v>1</v>
      </c>
      <c r="L303" s="118">
        <v>1</v>
      </c>
      <c r="M303" s="118">
        <v>1</v>
      </c>
      <c r="N303" s="118">
        <v>1</v>
      </c>
      <c r="O303" s="118">
        <v>1</v>
      </c>
      <c r="P303" s="118">
        <v>1</v>
      </c>
      <c r="Q303" s="99">
        <f t="shared" si="77"/>
        <v>1</v>
      </c>
      <c r="R303" s="92"/>
    </row>
    <row r="304" spans="1:18" ht="12.95" customHeight="1" x14ac:dyDescent="0.25">
      <c r="A304" s="92"/>
      <c r="B304" s="253"/>
      <c r="C304" s="114"/>
      <c r="D304" s="125"/>
      <c r="E304" s="125"/>
      <c r="F304" s="125"/>
      <c r="G304" s="126"/>
      <c r="H304" s="116">
        <f t="shared" si="75"/>
        <v>1</v>
      </c>
      <c r="I304" s="110">
        <f t="shared" si="76"/>
        <v>0</v>
      </c>
      <c r="J304" s="92"/>
      <c r="K304" s="118">
        <v>1</v>
      </c>
      <c r="L304" s="118">
        <v>1</v>
      </c>
      <c r="M304" s="118">
        <v>1</v>
      </c>
      <c r="N304" s="118">
        <v>1</v>
      </c>
      <c r="O304" s="118">
        <v>1</v>
      </c>
      <c r="P304" s="118">
        <v>1</v>
      </c>
      <c r="Q304" s="99">
        <f t="shared" si="77"/>
        <v>1</v>
      </c>
      <c r="R304" s="92"/>
    </row>
    <row r="305" spans="1:18" ht="12.95" customHeight="1" x14ac:dyDescent="0.25">
      <c r="A305" s="92"/>
      <c r="B305" s="253"/>
      <c r="C305" s="114"/>
      <c r="D305" s="125"/>
      <c r="E305" s="125"/>
      <c r="F305" s="125"/>
      <c r="G305" s="126"/>
      <c r="H305" s="116">
        <f t="shared" si="75"/>
        <v>1</v>
      </c>
      <c r="I305" s="110">
        <f t="shared" si="76"/>
        <v>0</v>
      </c>
      <c r="J305" s="92"/>
      <c r="K305" s="118">
        <v>1</v>
      </c>
      <c r="L305" s="118">
        <v>1</v>
      </c>
      <c r="M305" s="118">
        <v>1</v>
      </c>
      <c r="N305" s="118">
        <v>1</v>
      </c>
      <c r="O305" s="118">
        <v>1</v>
      </c>
      <c r="P305" s="118">
        <v>1</v>
      </c>
      <c r="Q305" s="99">
        <f t="shared" si="77"/>
        <v>1</v>
      </c>
      <c r="R305" s="92"/>
    </row>
    <row r="306" spans="1:18" ht="12.95" customHeight="1" x14ac:dyDescent="0.25">
      <c r="A306" s="92"/>
      <c r="B306" s="253"/>
      <c r="C306" s="114"/>
      <c r="D306" s="125"/>
      <c r="E306" s="125"/>
      <c r="F306" s="125"/>
      <c r="G306" s="126"/>
      <c r="H306" s="116">
        <f t="shared" si="75"/>
        <v>1</v>
      </c>
      <c r="I306" s="110">
        <f t="shared" si="76"/>
        <v>0</v>
      </c>
      <c r="J306" s="92"/>
      <c r="K306" s="118">
        <v>1</v>
      </c>
      <c r="L306" s="118">
        <v>1</v>
      </c>
      <c r="M306" s="118">
        <v>1</v>
      </c>
      <c r="N306" s="118">
        <v>1</v>
      </c>
      <c r="O306" s="118">
        <v>1</v>
      </c>
      <c r="P306" s="118">
        <v>1</v>
      </c>
      <c r="Q306" s="99">
        <f t="shared" si="77"/>
        <v>1</v>
      </c>
      <c r="R306" s="92"/>
    </row>
    <row r="307" spans="1:18" ht="12.95" customHeight="1" x14ac:dyDescent="0.25">
      <c r="A307" s="92"/>
      <c r="B307" s="253"/>
      <c r="C307" s="114"/>
      <c r="D307" s="125"/>
      <c r="E307" s="125"/>
      <c r="F307" s="125"/>
      <c r="G307" s="126"/>
      <c r="H307" s="116">
        <f t="shared" si="75"/>
        <v>1</v>
      </c>
      <c r="I307" s="110">
        <f t="shared" si="76"/>
        <v>0</v>
      </c>
      <c r="J307" s="92"/>
      <c r="K307" s="118">
        <v>1</v>
      </c>
      <c r="L307" s="118">
        <v>1</v>
      </c>
      <c r="M307" s="118">
        <v>1</v>
      </c>
      <c r="N307" s="118">
        <v>1</v>
      </c>
      <c r="O307" s="118">
        <v>1</v>
      </c>
      <c r="P307" s="118">
        <v>1</v>
      </c>
      <c r="Q307" s="99">
        <f t="shared" si="77"/>
        <v>1</v>
      </c>
      <c r="R307" s="92"/>
    </row>
    <row r="308" spans="1:18" ht="12.95" customHeight="1" x14ac:dyDescent="0.25">
      <c r="A308" s="92"/>
      <c r="B308" s="253"/>
      <c r="C308" s="114"/>
      <c r="D308" s="125"/>
      <c r="E308" s="125"/>
      <c r="F308" s="125"/>
      <c r="G308" s="126"/>
      <c r="H308" s="116">
        <f t="shared" si="75"/>
        <v>1</v>
      </c>
      <c r="I308" s="110">
        <f t="shared" si="76"/>
        <v>0</v>
      </c>
      <c r="J308" s="92"/>
      <c r="K308" s="118">
        <v>1</v>
      </c>
      <c r="L308" s="118">
        <v>1</v>
      </c>
      <c r="M308" s="118">
        <v>1</v>
      </c>
      <c r="N308" s="118">
        <v>1</v>
      </c>
      <c r="O308" s="118">
        <v>1</v>
      </c>
      <c r="P308" s="118">
        <v>1</v>
      </c>
      <c r="Q308" s="99">
        <f t="shared" si="77"/>
        <v>1</v>
      </c>
      <c r="R308" s="92"/>
    </row>
    <row r="309" spans="1:18" ht="12.95" customHeight="1" x14ac:dyDescent="0.25">
      <c r="A309" s="92"/>
      <c r="B309" s="253"/>
      <c r="C309" s="114"/>
      <c r="D309" s="125"/>
      <c r="E309" s="125"/>
      <c r="F309" s="125"/>
      <c r="G309" s="126"/>
      <c r="H309" s="116">
        <f t="shared" si="75"/>
        <v>1</v>
      </c>
      <c r="I309" s="110">
        <f t="shared" si="76"/>
        <v>0</v>
      </c>
      <c r="J309" s="92"/>
      <c r="K309" s="118">
        <v>1</v>
      </c>
      <c r="L309" s="118">
        <v>1</v>
      </c>
      <c r="M309" s="118">
        <v>1</v>
      </c>
      <c r="N309" s="118">
        <v>1</v>
      </c>
      <c r="O309" s="118">
        <v>1</v>
      </c>
      <c r="P309" s="118">
        <v>1</v>
      </c>
      <c r="Q309" s="99">
        <f t="shared" si="77"/>
        <v>1</v>
      </c>
      <c r="R309" s="92"/>
    </row>
    <row r="310" spans="1:18" ht="5.0999999999999996" customHeight="1" x14ac:dyDescent="0.25">
      <c r="A310" s="92"/>
      <c r="G310" s="110"/>
      <c r="I310" s="110"/>
      <c r="J310" s="92"/>
      <c r="K310" s="100"/>
      <c r="L310" s="100"/>
      <c r="M310" s="100"/>
      <c r="N310" s="100"/>
      <c r="O310" s="100"/>
      <c r="P310" s="100"/>
      <c r="Q310" s="100"/>
      <c r="R310" s="92"/>
    </row>
    <row r="311" spans="1:18" ht="12.95" customHeight="1" x14ac:dyDescent="0.25">
      <c r="A311" s="92"/>
      <c r="B311" s="253" t="s">
        <v>110</v>
      </c>
      <c r="C311" s="58" t="s">
        <v>109</v>
      </c>
      <c r="D311" s="59"/>
      <c r="E311" s="59"/>
      <c r="F311" s="59"/>
      <c r="G311" s="60"/>
      <c r="H311" s="59"/>
      <c r="I311" s="60">
        <f>SUM(I313:I322)</f>
        <v>0</v>
      </c>
      <c r="J311" s="92"/>
      <c r="K311" s="133"/>
      <c r="L311" s="133"/>
      <c r="M311" s="133"/>
      <c r="N311" s="133"/>
      <c r="O311" s="133"/>
      <c r="P311" s="133"/>
      <c r="Q311" s="133"/>
      <c r="R311" s="92"/>
    </row>
    <row r="312" spans="1:18" ht="5.0999999999999996" customHeight="1" x14ac:dyDescent="0.25">
      <c r="A312" s="92"/>
      <c r="B312" s="253"/>
      <c r="G312" s="110"/>
      <c r="I312" s="110"/>
      <c r="J312" s="92"/>
      <c r="K312" s="100"/>
      <c r="L312" s="100"/>
      <c r="M312" s="100"/>
      <c r="N312" s="100"/>
      <c r="O312" s="100"/>
      <c r="P312" s="100"/>
      <c r="Q312" s="100"/>
      <c r="R312" s="92"/>
    </row>
    <row r="313" spans="1:18" ht="12.95" customHeight="1" x14ac:dyDescent="0.25">
      <c r="A313" s="92"/>
      <c r="B313" s="253"/>
      <c r="C313" s="114"/>
      <c r="D313" s="125"/>
      <c r="E313" s="125"/>
      <c r="F313" s="125"/>
      <c r="G313" s="126"/>
      <c r="H313" s="116">
        <f>Q313</f>
        <v>1</v>
      </c>
      <c r="I313" s="110">
        <f>G313*H313</f>
        <v>0</v>
      </c>
      <c r="J313" s="92"/>
      <c r="K313" s="118">
        <v>1</v>
      </c>
      <c r="L313" s="118">
        <v>1</v>
      </c>
      <c r="M313" s="118">
        <v>1</v>
      </c>
      <c r="N313" s="118">
        <v>1</v>
      </c>
      <c r="O313" s="118">
        <v>1</v>
      </c>
      <c r="P313" s="118">
        <v>1</v>
      </c>
      <c r="Q313" s="99">
        <f>K313*L313*M313*N313*O313*P313</f>
        <v>1</v>
      </c>
      <c r="R313" s="92"/>
    </row>
    <row r="314" spans="1:18" ht="12.95" customHeight="1" x14ac:dyDescent="0.25">
      <c r="A314" s="92"/>
      <c r="B314" s="253"/>
      <c r="C314" s="114"/>
      <c r="D314" s="125"/>
      <c r="E314" s="125"/>
      <c r="F314" s="125"/>
      <c r="G314" s="126"/>
      <c r="H314" s="116">
        <f t="shared" ref="H314:H322" si="78">Q314</f>
        <v>1</v>
      </c>
      <c r="I314" s="110">
        <f t="shared" ref="I314:I322" si="79">G314*H314</f>
        <v>0</v>
      </c>
      <c r="J314" s="92"/>
      <c r="K314" s="118">
        <v>1</v>
      </c>
      <c r="L314" s="118">
        <v>1</v>
      </c>
      <c r="M314" s="118">
        <v>1</v>
      </c>
      <c r="N314" s="118">
        <v>1</v>
      </c>
      <c r="O314" s="118">
        <v>1</v>
      </c>
      <c r="P314" s="118">
        <v>1</v>
      </c>
      <c r="Q314" s="99">
        <f t="shared" ref="Q314:Q322" si="80">K314*L314*M314*N314*O314*P314</f>
        <v>1</v>
      </c>
      <c r="R314" s="92"/>
    </row>
    <row r="315" spans="1:18" ht="12.95" customHeight="1" x14ac:dyDescent="0.25">
      <c r="A315" s="92"/>
      <c r="B315" s="253"/>
      <c r="C315" s="114"/>
      <c r="D315" s="125"/>
      <c r="E315" s="125"/>
      <c r="F315" s="125"/>
      <c r="G315" s="126"/>
      <c r="H315" s="116">
        <f t="shared" si="78"/>
        <v>1</v>
      </c>
      <c r="I315" s="110">
        <f t="shared" si="79"/>
        <v>0</v>
      </c>
      <c r="J315" s="92"/>
      <c r="K315" s="118">
        <v>1</v>
      </c>
      <c r="L315" s="118">
        <v>1</v>
      </c>
      <c r="M315" s="118">
        <v>1</v>
      </c>
      <c r="N315" s="118">
        <v>1</v>
      </c>
      <c r="O315" s="118">
        <v>1</v>
      </c>
      <c r="P315" s="118">
        <v>1</v>
      </c>
      <c r="Q315" s="99">
        <f t="shared" si="80"/>
        <v>1</v>
      </c>
      <c r="R315" s="92"/>
    </row>
    <row r="316" spans="1:18" ht="12.95" customHeight="1" x14ac:dyDescent="0.25">
      <c r="A316" s="92"/>
      <c r="B316" s="253"/>
      <c r="C316" s="114"/>
      <c r="D316" s="125"/>
      <c r="E316" s="125"/>
      <c r="F316" s="125"/>
      <c r="G316" s="126"/>
      <c r="H316" s="116">
        <f t="shared" si="78"/>
        <v>1</v>
      </c>
      <c r="I316" s="110">
        <f t="shared" si="79"/>
        <v>0</v>
      </c>
      <c r="J316" s="92"/>
      <c r="K316" s="118">
        <v>1</v>
      </c>
      <c r="L316" s="118">
        <v>1</v>
      </c>
      <c r="M316" s="118">
        <v>1</v>
      </c>
      <c r="N316" s="118">
        <v>1</v>
      </c>
      <c r="O316" s="118">
        <v>1</v>
      </c>
      <c r="P316" s="118">
        <v>1</v>
      </c>
      <c r="Q316" s="99">
        <f t="shared" si="80"/>
        <v>1</v>
      </c>
      <c r="R316" s="92"/>
    </row>
    <row r="317" spans="1:18" ht="12.95" customHeight="1" x14ac:dyDescent="0.25">
      <c r="A317" s="92"/>
      <c r="B317" s="253"/>
      <c r="C317" s="114"/>
      <c r="D317" s="125"/>
      <c r="E317" s="125"/>
      <c r="F317" s="125"/>
      <c r="G317" s="126"/>
      <c r="H317" s="116">
        <f t="shared" si="78"/>
        <v>1</v>
      </c>
      <c r="I317" s="110">
        <f t="shared" si="79"/>
        <v>0</v>
      </c>
      <c r="J317" s="92"/>
      <c r="K317" s="118">
        <v>1</v>
      </c>
      <c r="L317" s="118">
        <v>1</v>
      </c>
      <c r="M317" s="118">
        <v>1</v>
      </c>
      <c r="N317" s="118">
        <v>1</v>
      </c>
      <c r="O317" s="118">
        <v>1</v>
      </c>
      <c r="P317" s="118">
        <v>1</v>
      </c>
      <c r="Q317" s="99">
        <f t="shared" si="80"/>
        <v>1</v>
      </c>
      <c r="R317" s="92"/>
    </row>
    <row r="318" spans="1:18" ht="12.95" customHeight="1" x14ac:dyDescent="0.25">
      <c r="A318" s="92"/>
      <c r="B318" s="253"/>
      <c r="C318" s="114"/>
      <c r="D318" s="125"/>
      <c r="E318" s="125"/>
      <c r="F318" s="125"/>
      <c r="G318" s="126"/>
      <c r="H318" s="116">
        <f t="shared" si="78"/>
        <v>1</v>
      </c>
      <c r="I318" s="110">
        <f>G318*H318</f>
        <v>0</v>
      </c>
      <c r="J318" s="92"/>
      <c r="K318" s="118">
        <v>1</v>
      </c>
      <c r="L318" s="118">
        <v>1</v>
      </c>
      <c r="M318" s="118">
        <v>1</v>
      </c>
      <c r="N318" s="118">
        <v>1</v>
      </c>
      <c r="O318" s="118">
        <v>1</v>
      </c>
      <c r="P318" s="118">
        <v>1</v>
      </c>
      <c r="Q318" s="99">
        <f t="shared" si="80"/>
        <v>1</v>
      </c>
      <c r="R318" s="92"/>
    </row>
    <row r="319" spans="1:18" ht="12.95" customHeight="1" x14ac:dyDescent="0.25">
      <c r="A319" s="92"/>
      <c r="B319" s="253"/>
      <c r="C319" s="114"/>
      <c r="D319" s="125"/>
      <c r="E319" s="125"/>
      <c r="F319" s="125"/>
      <c r="G319" s="126"/>
      <c r="H319" s="116">
        <f t="shared" si="78"/>
        <v>1</v>
      </c>
      <c r="I319" s="110">
        <f t="shared" si="79"/>
        <v>0</v>
      </c>
      <c r="J319" s="92"/>
      <c r="K319" s="118">
        <v>1</v>
      </c>
      <c r="L319" s="118">
        <v>1</v>
      </c>
      <c r="M319" s="118">
        <v>1</v>
      </c>
      <c r="N319" s="118">
        <v>1</v>
      </c>
      <c r="O319" s="118">
        <v>1</v>
      </c>
      <c r="P319" s="118">
        <v>1</v>
      </c>
      <c r="Q319" s="99">
        <f t="shared" si="80"/>
        <v>1</v>
      </c>
      <c r="R319" s="92"/>
    </row>
    <row r="320" spans="1:18" ht="12.95" customHeight="1" x14ac:dyDescent="0.25">
      <c r="A320" s="92"/>
      <c r="B320" s="253"/>
      <c r="C320" s="114"/>
      <c r="D320" s="125"/>
      <c r="E320" s="125"/>
      <c r="F320" s="125"/>
      <c r="G320" s="126"/>
      <c r="H320" s="116">
        <f t="shared" si="78"/>
        <v>1</v>
      </c>
      <c r="I320" s="110">
        <f t="shared" si="79"/>
        <v>0</v>
      </c>
      <c r="J320" s="92"/>
      <c r="K320" s="118">
        <v>1</v>
      </c>
      <c r="L320" s="118">
        <v>1</v>
      </c>
      <c r="M320" s="118">
        <v>1</v>
      </c>
      <c r="N320" s="118">
        <v>1</v>
      </c>
      <c r="O320" s="118">
        <v>1</v>
      </c>
      <c r="P320" s="118">
        <v>1</v>
      </c>
      <c r="Q320" s="99">
        <f t="shared" si="80"/>
        <v>1</v>
      </c>
      <c r="R320" s="92"/>
    </row>
    <row r="321" spans="1:18" ht="12.95" customHeight="1" x14ac:dyDescent="0.25">
      <c r="A321" s="92"/>
      <c r="B321" s="253"/>
      <c r="C321" s="114"/>
      <c r="D321" s="125"/>
      <c r="E321" s="125"/>
      <c r="F321" s="125"/>
      <c r="G321" s="126"/>
      <c r="H321" s="116">
        <f t="shared" si="78"/>
        <v>1</v>
      </c>
      <c r="I321" s="110">
        <f t="shared" si="79"/>
        <v>0</v>
      </c>
      <c r="J321" s="92"/>
      <c r="K321" s="118">
        <v>1</v>
      </c>
      <c r="L321" s="118">
        <v>1</v>
      </c>
      <c r="M321" s="118">
        <v>1</v>
      </c>
      <c r="N321" s="118">
        <v>1</v>
      </c>
      <c r="O321" s="118">
        <v>1</v>
      </c>
      <c r="P321" s="118">
        <v>1</v>
      </c>
      <c r="Q321" s="99">
        <f t="shared" si="80"/>
        <v>1</v>
      </c>
      <c r="R321" s="92"/>
    </row>
    <row r="322" spans="1:18" ht="12.95" customHeight="1" x14ac:dyDescent="0.25">
      <c r="A322" s="92"/>
      <c r="B322" s="253"/>
      <c r="C322" s="114"/>
      <c r="D322" s="125"/>
      <c r="E322" s="125"/>
      <c r="F322" s="125"/>
      <c r="G322" s="126"/>
      <c r="H322" s="116">
        <f t="shared" si="78"/>
        <v>1</v>
      </c>
      <c r="I322" s="110">
        <f t="shared" si="79"/>
        <v>0</v>
      </c>
      <c r="J322" s="92"/>
      <c r="K322" s="118">
        <v>1</v>
      </c>
      <c r="L322" s="118">
        <v>1</v>
      </c>
      <c r="M322" s="118">
        <v>1</v>
      </c>
      <c r="N322" s="118">
        <v>1</v>
      </c>
      <c r="O322" s="118">
        <v>1</v>
      </c>
      <c r="P322" s="118">
        <v>1</v>
      </c>
      <c r="Q322" s="99">
        <f t="shared" si="80"/>
        <v>1</v>
      </c>
      <c r="R322" s="92"/>
    </row>
    <row r="323" spans="1:18" ht="5.0999999999999996" customHeight="1" x14ac:dyDescent="0.25">
      <c r="A323" s="92"/>
      <c r="C323" s="114" t="s">
        <v>12</v>
      </c>
      <c r="D323" s="125"/>
      <c r="E323" s="125"/>
      <c r="F323" s="125"/>
      <c r="G323" s="126"/>
      <c r="I323" s="110"/>
      <c r="J323" s="92"/>
      <c r="K323" s="100"/>
      <c r="L323" s="100"/>
      <c r="M323" s="100"/>
      <c r="N323" s="100"/>
      <c r="O323" s="100"/>
      <c r="P323" s="100"/>
      <c r="Q323" s="100"/>
      <c r="R323" s="92"/>
    </row>
    <row r="324" spans="1:18" ht="12.95" customHeight="1" x14ac:dyDescent="0.25">
      <c r="A324" s="92"/>
      <c r="B324" s="253" t="s">
        <v>112</v>
      </c>
      <c r="C324" s="58" t="s">
        <v>111</v>
      </c>
      <c r="D324" s="59"/>
      <c r="E324" s="59"/>
      <c r="F324" s="59"/>
      <c r="G324" s="60"/>
      <c r="H324" s="59"/>
      <c r="I324" s="60">
        <f>SUM(I326:I335)</f>
        <v>0</v>
      </c>
      <c r="J324" s="92"/>
      <c r="K324" s="133"/>
      <c r="L324" s="133"/>
      <c r="M324" s="133"/>
      <c r="N324" s="133"/>
      <c r="O324" s="133"/>
      <c r="P324" s="133"/>
      <c r="Q324" s="133"/>
      <c r="R324" s="92"/>
    </row>
    <row r="325" spans="1:18" ht="5.0999999999999996" customHeight="1" x14ac:dyDescent="0.25">
      <c r="A325" s="92"/>
      <c r="B325" s="253"/>
      <c r="G325" s="110"/>
      <c r="I325" s="110"/>
      <c r="J325" s="92"/>
      <c r="K325" s="100"/>
      <c r="L325" s="100"/>
      <c r="M325" s="100"/>
      <c r="N325" s="100"/>
      <c r="O325" s="100"/>
      <c r="P325" s="100"/>
      <c r="Q325" s="100"/>
      <c r="R325" s="92"/>
    </row>
    <row r="326" spans="1:18" ht="12.95" customHeight="1" x14ac:dyDescent="0.25">
      <c r="A326" s="92"/>
      <c r="B326" s="253"/>
      <c r="C326" s="114"/>
      <c r="D326" s="125"/>
      <c r="E326" s="125"/>
      <c r="F326" s="125"/>
      <c r="G326" s="126"/>
      <c r="H326" s="116">
        <f>Q326</f>
        <v>1</v>
      </c>
      <c r="I326" s="110">
        <f>G326*H326</f>
        <v>0</v>
      </c>
      <c r="J326" s="92"/>
      <c r="K326" s="118">
        <v>1</v>
      </c>
      <c r="L326" s="118">
        <v>1</v>
      </c>
      <c r="M326" s="118">
        <v>1</v>
      </c>
      <c r="N326" s="118">
        <v>1</v>
      </c>
      <c r="O326" s="118">
        <v>1</v>
      </c>
      <c r="P326" s="118">
        <v>1</v>
      </c>
      <c r="Q326" s="99">
        <f>K326*L326*M326*N326*O326*P326</f>
        <v>1</v>
      </c>
      <c r="R326" s="92"/>
    </row>
    <row r="327" spans="1:18" ht="12.95" customHeight="1" x14ac:dyDescent="0.25">
      <c r="A327" s="92"/>
      <c r="B327" s="253"/>
      <c r="C327" s="114"/>
      <c r="D327" s="125"/>
      <c r="E327" s="125"/>
      <c r="F327" s="125"/>
      <c r="G327" s="126"/>
      <c r="H327" s="116">
        <f t="shared" ref="H327:H335" si="81">Q327</f>
        <v>1</v>
      </c>
      <c r="I327" s="110">
        <f t="shared" ref="I327:I335" si="82">G327*H327</f>
        <v>0</v>
      </c>
      <c r="J327" s="92"/>
      <c r="K327" s="118">
        <v>1</v>
      </c>
      <c r="L327" s="118">
        <v>1</v>
      </c>
      <c r="M327" s="118">
        <v>1</v>
      </c>
      <c r="N327" s="118">
        <v>1</v>
      </c>
      <c r="O327" s="118">
        <v>1</v>
      </c>
      <c r="P327" s="118">
        <v>1</v>
      </c>
      <c r="Q327" s="99">
        <f t="shared" ref="Q327:Q335" si="83">K327*L327*M327*N327*O327*P327</f>
        <v>1</v>
      </c>
      <c r="R327" s="92"/>
    </row>
    <row r="328" spans="1:18" ht="12.95" customHeight="1" x14ac:dyDescent="0.25">
      <c r="A328" s="92"/>
      <c r="B328" s="253"/>
      <c r="C328" s="114"/>
      <c r="D328" s="125"/>
      <c r="E328" s="125"/>
      <c r="F328" s="125"/>
      <c r="G328" s="126"/>
      <c r="H328" s="116">
        <f t="shared" si="81"/>
        <v>1</v>
      </c>
      <c r="I328" s="110">
        <f t="shared" si="82"/>
        <v>0</v>
      </c>
      <c r="J328" s="92"/>
      <c r="K328" s="118">
        <v>1</v>
      </c>
      <c r="L328" s="118">
        <v>1</v>
      </c>
      <c r="M328" s="118">
        <v>1</v>
      </c>
      <c r="N328" s="118">
        <v>1</v>
      </c>
      <c r="O328" s="118">
        <v>1</v>
      </c>
      <c r="P328" s="118">
        <v>1</v>
      </c>
      <c r="Q328" s="99">
        <f t="shared" si="83"/>
        <v>1</v>
      </c>
      <c r="R328" s="92"/>
    </row>
    <row r="329" spans="1:18" ht="12.95" customHeight="1" x14ac:dyDescent="0.25">
      <c r="A329" s="92"/>
      <c r="B329" s="253"/>
      <c r="C329" s="114"/>
      <c r="D329" s="125"/>
      <c r="E329" s="125"/>
      <c r="F329" s="125"/>
      <c r="G329" s="126"/>
      <c r="H329" s="116">
        <f t="shared" si="81"/>
        <v>1</v>
      </c>
      <c r="I329" s="110">
        <f t="shared" si="82"/>
        <v>0</v>
      </c>
      <c r="J329" s="92"/>
      <c r="K329" s="118">
        <v>1</v>
      </c>
      <c r="L329" s="118">
        <v>1</v>
      </c>
      <c r="M329" s="118">
        <v>1</v>
      </c>
      <c r="N329" s="118">
        <v>1</v>
      </c>
      <c r="O329" s="118">
        <v>1</v>
      </c>
      <c r="P329" s="118">
        <v>1</v>
      </c>
      <c r="Q329" s="99">
        <f t="shared" si="83"/>
        <v>1</v>
      </c>
      <c r="R329" s="92"/>
    </row>
    <row r="330" spans="1:18" ht="12.95" customHeight="1" x14ac:dyDescent="0.25">
      <c r="A330" s="92"/>
      <c r="B330" s="253"/>
      <c r="C330" s="114"/>
      <c r="D330" s="125"/>
      <c r="E330" s="125"/>
      <c r="F330" s="125"/>
      <c r="G330" s="126"/>
      <c r="H330" s="116">
        <f t="shared" si="81"/>
        <v>1</v>
      </c>
      <c r="I330" s="110">
        <f t="shared" si="82"/>
        <v>0</v>
      </c>
      <c r="J330" s="92"/>
      <c r="K330" s="118">
        <v>1</v>
      </c>
      <c r="L330" s="118">
        <v>1</v>
      </c>
      <c r="M330" s="118">
        <v>1</v>
      </c>
      <c r="N330" s="118">
        <v>1</v>
      </c>
      <c r="O330" s="118">
        <v>1</v>
      </c>
      <c r="P330" s="118">
        <v>1</v>
      </c>
      <c r="Q330" s="99">
        <f t="shared" si="83"/>
        <v>1</v>
      </c>
      <c r="R330" s="92"/>
    </row>
    <row r="331" spans="1:18" ht="12.95" customHeight="1" x14ac:dyDescent="0.25">
      <c r="A331" s="92"/>
      <c r="B331" s="253"/>
      <c r="C331" s="114"/>
      <c r="D331" s="125"/>
      <c r="E331" s="125"/>
      <c r="F331" s="125"/>
      <c r="G331" s="126"/>
      <c r="H331" s="116">
        <f t="shared" si="81"/>
        <v>1</v>
      </c>
      <c r="I331" s="110">
        <f t="shared" si="82"/>
        <v>0</v>
      </c>
      <c r="J331" s="92"/>
      <c r="K331" s="118">
        <v>1</v>
      </c>
      <c r="L331" s="118">
        <v>1</v>
      </c>
      <c r="M331" s="118">
        <v>1</v>
      </c>
      <c r="N331" s="118">
        <v>1</v>
      </c>
      <c r="O331" s="118">
        <v>1</v>
      </c>
      <c r="P331" s="118">
        <v>1</v>
      </c>
      <c r="Q331" s="99">
        <f t="shared" si="83"/>
        <v>1</v>
      </c>
      <c r="R331" s="92"/>
    </row>
    <row r="332" spans="1:18" ht="12.95" customHeight="1" x14ac:dyDescent="0.25">
      <c r="A332" s="92"/>
      <c r="B332" s="253"/>
      <c r="C332" s="114"/>
      <c r="D332" s="125"/>
      <c r="E332" s="125"/>
      <c r="F332" s="125"/>
      <c r="G332" s="126"/>
      <c r="H332" s="116">
        <f t="shared" si="81"/>
        <v>1</v>
      </c>
      <c r="I332" s="110">
        <f t="shared" si="82"/>
        <v>0</v>
      </c>
      <c r="J332" s="92"/>
      <c r="K332" s="118">
        <v>1</v>
      </c>
      <c r="L332" s="118">
        <v>1</v>
      </c>
      <c r="M332" s="118">
        <v>1</v>
      </c>
      <c r="N332" s="118">
        <v>1</v>
      </c>
      <c r="O332" s="118">
        <v>1</v>
      </c>
      <c r="P332" s="118">
        <v>1</v>
      </c>
      <c r="Q332" s="99">
        <f t="shared" si="83"/>
        <v>1</v>
      </c>
      <c r="R332" s="92"/>
    </row>
    <row r="333" spans="1:18" ht="12.95" customHeight="1" x14ac:dyDescent="0.25">
      <c r="A333" s="92"/>
      <c r="B333" s="253"/>
      <c r="C333" s="114"/>
      <c r="D333" s="125"/>
      <c r="E333" s="125"/>
      <c r="F333" s="125"/>
      <c r="G333" s="126"/>
      <c r="H333" s="116">
        <f t="shared" si="81"/>
        <v>1</v>
      </c>
      <c r="I333" s="110">
        <f t="shared" si="82"/>
        <v>0</v>
      </c>
      <c r="J333" s="92"/>
      <c r="K333" s="118">
        <v>1</v>
      </c>
      <c r="L333" s="118">
        <v>1</v>
      </c>
      <c r="M333" s="118">
        <v>1</v>
      </c>
      <c r="N333" s="118">
        <v>1</v>
      </c>
      <c r="O333" s="118">
        <v>1</v>
      </c>
      <c r="P333" s="118">
        <v>1</v>
      </c>
      <c r="Q333" s="99">
        <f t="shared" si="83"/>
        <v>1</v>
      </c>
      <c r="R333" s="92"/>
    </row>
    <row r="334" spans="1:18" ht="12.95" customHeight="1" x14ac:dyDescent="0.25">
      <c r="A334" s="92"/>
      <c r="B334" s="253"/>
      <c r="C334" s="114"/>
      <c r="D334" s="125"/>
      <c r="E334" s="125"/>
      <c r="F334" s="125"/>
      <c r="G334" s="126"/>
      <c r="H334" s="116">
        <f t="shared" si="81"/>
        <v>1</v>
      </c>
      <c r="I334" s="110">
        <f t="shared" si="82"/>
        <v>0</v>
      </c>
      <c r="J334" s="92"/>
      <c r="K334" s="118">
        <v>1</v>
      </c>
      <c r="L334" s="118">
        <v>1</v>
      </c>
      <c r="M334" s="118">
        <v>1</v>
      </c>
      <c r="N334" s="118">
        <v>1</v>
      </c>
      <c r="O334" s="118">
        <v>1</v>
      </c>
      <c r="P334" s="118">
        <v>1</v>
      </c>
      <c r="Q334" s="99">
        <f t="shared" si="83"/>
        <v>1</v>
      </c>
      <c r="R334" s="92"/>
    </row>
    <row r="335" spans="1:18" ht="12.95" customHeight="1" x14ac:dyDescent="0.25">
      <c r="A335" s="92"/>
      <c r="B335" s="253"/>
      <c r="C335" s="114"/>
      <c r="D335" s="125"/>
      <c r="E335" s="125"/>
      <c r="F335" s="125"/>
      <c r="G335" s="126"/>
      <c r="H335" s="116">
        <f t="shared" si="81"/>
        <v>1</v>
      </c>
      <c r="I335" s="110">
        <f t="shared" si="82"/>
        <v>0</v>
      </c>
      <c r="J335" s="92"/>
      <c r="K335" s="118">
        <v>1</v>
      </c>
      <c r="L335" s="118">
        <v>1</v>
      </c>
      <c r="M335" s="118">
        <v>1</v>
      </c>
      <c r="N335" s="118">
        <v>1</v>
      </c>
      <c r="O335" s="118">
        <v>1</v>
      </c>
      <c r="P335" s="118">
        <v>1</v>
      </c>
      <c r="Q335" s="99">
        <f t="shared" si="83"/>
        <v>1</v>
      </c>
      <c r="R335" s="92"/>
    </row>
    <row r="336" spans="1:18" ht="5.0999999999999996" customHeight="1" x14ac:dyDescent="0.25">
      <c r="A336" s="92"/>
      <c r="C336" s="123" t="s">
        <v>12</v>
      </c>
      <c r="G336" s="110"/>
      <c r="I336" s="110"/>
      <c r="J336" s="92"/>
      <c r="K336" s="100"/>
      <c r="L336" s="100"/>
      <c r="M336" s="100"/>
      <c r="N336" s="100"/>
      <c r="O336" s="100"/>
      <c r="P336" s="100"/>
      <c r="Q336" s="100"/>
      <c r="R336" s="92"/>
    </row>
    <row r="337" spans="1:18" ht="12.95" customHeight="1" x14ac:dyDescent="0.25">
      <c r="A337" s="92"/>
      <c r="B337" s="253" t="s">
        <v>113</v>
      </c>
      <c r="C337" s="58" t="s">
        <v>114</v>
      </c>
      <c r="D337" s="59"/>
      <c r="E337" s="59"/>
      <c r="F337" s="59"/>
      <c r="G337" s="60"/>
      <c r="H337" s="59"/>
      <c r="I337" s="60">
        <f>SUM(I339:I348)</f>
        <v>0</v>
      </c>
      <c r="J337" s="92"/>
      <c r="K337" s="133"/>
      <c r="L337" s="133"/>
      <c r="M337" s="133"/>
      <c r="N337" s="133"/>
      <c r="O337" s="133"/>
      <c r="P337" s="133"/>
      <c r="Q337" s="133"/>
      <c r="R337" s="92"/>
    </row>
    <row r="338" spans="1:18" ht="5.0999999999999996" customHeight="1" x14ac:dyDescent="0.25">
      <c r="A338" s="92"/>
      <c r="B338" s="253"/>
      <c r="G338" s="110"/>
      <c r="I338" s="110"/>
      <c r="J338" s="92"/>
      <c r="K338" s="100"/>
      <c r="L338" s="100"/>
      <c r="M338" s="100"/>
      <c r="N338" s="100"/>
      <c r="O338" s="100"/>
      <c r="P338" s="100"/>
      <c r="Q338" s="100"/>
      <c r="R338" s="92"/>
    </row>
    <row r="339" spans="1:18" ht="12.95" customHeight="1" x14ac:dyDescent="0.25">
      <c r="A339" s="92"/>
      <c r="B339" s="253"/>
      <c r="C339" s="114"/>
      <c r="D339" s="125"/>
      <c r="E339" s="125"/>
      <c r="F339" s="125"/>
      <c r="G339" s="126"/>
      <c r="H339" s="116">
        <f>Q339</f>
        <v>1</v>
      </c>
      <c r="I339" s="110">
        <f>G339*H339</f>
        <v>0</v>
      </c>
      <c r="J339" s="92"/>
      <c r="K339" s="118">
        <v>1</v>
      </c>
      <c r="L339" s="118">
        <v>1</v>
      </c>
      <c r="M339" s="118">
        <v>1</v>
      </c>
      <c r="N339" s="118">
        <v>1</v>
      </c>
      <c r="O339" s="118">
        <v>1</v>
      </c>
      <c r="P339" s="118">
        <v>1</v>
      </c>
      <c r="Q339" s="99">
        <f>K339*L339*M339*N339*O339*P339</f>
        <v>1</v>
      </c>
      <c r="R339" s="92"/>
    </row>
    <row r="340" spans="1:18" ht="12.95" customHeight="1" x14ac:dyDescent="0.25">
      <c r="A340" s="92"/>
      <c r="B340" s="253"/>
      <c r="C340" s="114"/>
      <c r="D340" s="125"/>
      <c r="E340" s="125"/>
      <c r="F340" s="125"/>
      <c r="G340" s="126"/>
      <c r="H340" s="116">
        <f t="shared" ref="H340:H348" si="84">Q340</f>
        <v>1</v>
      </c>
      <c r="I340" s="110">
        <f t="shared" ref="I340:I348" si="85">G340*H340</f>
        <v>0</v>
      </c>
      <c r="J340" s="92"/>
      <c r="K340" s="118">
        <v>1</v>
      </c>
      <c r="L340" s="118">
        <v>1</v>
      </c>
      <c r="M340" s="118">
        <v>1</v>
      </c>
      <c r="N340" s="118">
        <v>1</v>
      </c>
      <c r="O340" s="118">
        <v>1</v>
      </c>
      <c r="P340" s="118">
        <v>1</v>
      </c>
      <c r="Q340" s="99">
        <f t="shared" ref="Q340:Q348" si="86">K340*L340*M340*N340*O340*P340</f>
        <v>1</v>
      </c>
      <c r="R340" s="92"/>
    </row>
    <row r="341" spans="1:18" ht="12.95" customHeight="1" x14ac:dyDescent="0.25">
      <c r="A341" s="92"/>
      <c r="B341" s="253"/>
      <c r="C341" s="114"/>
      <c r="D341" s="125"/>
      <c r="E341" s="125"/>
      <c r="F341" s="125"/>
      <c r="G341" s="126"/>
      <c r="H341" s="116">
        <f t="shared" si="84"/>
        <v>1</v>
      </c>
      <c r="I341" s="110">
        <f t="shared" si="85"/>
        <v>0</v>
      </c>
      <c r="J341" s="92"/>
      <c r="K341" s="118">
        <v>1</v>
      </c>
      <c r="L341" s="118">
        <v>1</v>
      </c>
      <c r="M341" s="118">
        <v>1</v>
      </c>
      <c r="N341" s="118">
        <v>1</v>
      </c>
      <c r="O341" s="118">
        <v>1</v>
      </c>
      <c r="P341" s="118">
        <v>1</v>
      </c>
      <c r="Q341" s="99">
        <f t="shared" si="86"/>
        <v>1</v>
      </c>
      <c r="R341" s="92"/>
    </row>
    <row r="342" spans="1:18" ht="12.95" customHeight="1" x14ac:dyDescent="0.25">
      <c r="A342" s="92"/>
      <c r="B342" s="253"/>
      <c r="C342" s="114"/>
      <c r="D342" s="125"/>
      <c r="E342" s="125"/>
      <c r="F342" s="125"/>
      <c r="G342" s="126"/>
      <c r="H342" s="116">
        <f t="shared" si="84"/>
        <v>1</v>
      </c>
      <c r="I342" s="110">
        <f t="shared" si="85"/>
        <v>0</v>
      </c>
      <c r="J342" s="92"/>
      <c r="K342" s="118">
        <v>1</v>
      </c>
      <c r="L342" s="118">
        <v>1</v>
      </c>
      <c r="M342" s="118">
        <v>1</v>
      </c>
      <c r="N342" s="118">
        <v>1</v>
      </c>
      <c r="O342" s="118">
        <v>1</v>
      </c>
      <c r="P342" s="118">
        <v>1</v>
      </c>
      <c r="Q342" s="99">
        <f t="shared" si="86"/>
        <v>1</v>
      </c>
      <c r="R342" s="92"/>
    </row>
    <row r="343" spans="1:18" ht="12.95" customHeight="1" x14ac:dyDescent="0.25">
      <c r="A343" s="92"/>
      <c r="B343" s="253"/>
      <c r="C343" s="114"/>
      <c r="D343" s="125"/>
      <c r="E343" s="125"/>
      <c r="F343" s="125"/>
      <c r="G343" s="126"/>
      <c r="H343" s="116">
        <f t="shared" si="84"/>
        <v>1</v>
      </c>
      <c r="I343" s="110">
        <f t="shared" si="85"/>
        <v>0</v>
      </c>
      <c r="J343" s="92"/>
      <c r="K343" s="118">
        <v>1</v>
      </c>
      <c r="L343" s="118">
        <v>1</v>
      </c>
      <c r="M343" s="118">
        <v>1</v>
      </c>
      <c r="N343" s="118">
        <v>1</v>
      </c>
      <c r="O343" s="118">
        <v>1</v>
      </c>
      <c r="P343" s="118">
        <v>1</v>
      </c>
      <c r="Q343" s="99">
        <f t="shared" si="86"/>
        <v>1</v>
      </c>
      <c r="R343" s="92"/>
    </row>
    <row r="344" spans="1:18" ht="12.95" customHeight="1" x14ac:dyDescent="0.25">
      <c r="A344" s="92"/>
      <c r="B344" s="253"/>
      <c r="C344" s="114"/>
      <c r="D344" s="125"/>
      <c r="E344" s="125"/>
      <c r="F344" s="125"/>
      <c r="G344" s="126"/>
      <c r="H344" s="116">
        <f t="shared" si="84"/>
        <v>1</v>
      </c>
      <c r="I344" s="110">
        <f t="shared" si="85"/>
        <v>0</v>
      </c>
      <c r="J344" s="92"/>
      <c r="K344" s="118">
        <v>1</v>
      </c>
      <c r="L344" s="118">
        <v>1</v>
      </c>
      <c r="M344" s="118">
        <v>1</v>
      </c>
      <c r="N344" s="118">
        <v>1</v>
      </c>
      <c r="O344" s="118">
        <v>1</v>
      </c>
      <c r="P344" s="118">
        <v>1</v>
      </c>
      <c r="Q344" s="99">
        <f t="shared" si="86"/>
        <v>1</v>
      </c>
      <c r="R344" s="92"/>
    </row>
    <row r="345" spans="1:18" ht="12.95" customHeight="1" x14ac:dyDescent="0.25">
      <c r="A345" s="92"/>
      <c r="B345" s="253"/>
      <c r="C345" s="114"/>
      <c r="D345" s="125"/>
      <c r="E345" s="125"/>
      <c r="F345" s="125"/>
      <c r="G345" s="126"/>
      <c r="H345" s="116">
        <f t="shared" si="84"/>
        <v>1</v>
      </c>
      <c r="I345" s="110">
        <f t="shared" si="85"/>
        <v>0</v>
      </c>
      <c r="J345" s="92"/>
      <c r="K345" s="118">
        <v>1</v>
      </c>
      <c r="L345" s="118">
        <v>1</v>
      </c>
      <c r="M345" s="118">
        <v>1</v>
      </c>
      <c r="N345" s="118">
        <v>1</v>
      </c>
      <c r="O345" s="118">
        <v>1</v>
      </c>
      <c r="P345" s="118">
        <v>1</v>
      </c>
      <c r="Q345" s="99">
        <f t="shared" si="86"/>
        <v>1</v>
      </c>
      <c r="R345" s="92"/>
    </row>
    <row r="346" spans="1:18" ht="12.95" customHeight="1" x14ac:dyDescent="0.25">
      <c r="A346" s="92"/>
      <c r="B346" s="253"/>
      <c r="C346" s="114"/>
      <c r="D346" s="125"/>
      <c r="E346" s="125"/>
      <c r="F346" s="125"/>
      <c r="G346" s="126"/>
      <c r="H346" s="116">
        <f t="shared" si="84"/>
        <v>1</v>
      </c>
      <c r="I346" s="110">
        <f t="shared" si="85"/>
        <v>0</v>
      </c>
      <c r="J346" s="92"/>
      <c r="K346" s="118">
        <v>1</v>
      </c>
      <c r="L346" s="118">
        <v>1</v>
      </c>
      <c r="M346" s="118">
        <v>1</v>
      </c>
      <c r="N346" s="118">
        <v>1</v>
      </c>
      <c r="O346" s="118">
        <v>1</v>
      </c>
      <c r="P346" s="118">
        <v>1</v>
      </c>
      <c r="Q346" s="99">
        <f t="shared" si="86"/>
        <v>1</v>
      </c>
      <c r="R346" s="92"/>
    </row>
    <row r="347" spans="1:18" ht="12.95" customHeight="1" x14ac:dyDescent="0.25">
      <c r="A347" s="92"/>
      <c r="B347" s="253"/>
      <c r="C347" s="114"/>
      <c r="D347" s="125"/>
      <c r="E347" s="125"/>
      <c r="F347" s="125"/>
      <c r="G347" s="126"/>
      <c r="H347" s="116">
        <f t="shared" si="84"/>
        <v>1</v>
      </c>
      <c r="I347" s="110">
        <f t="shared" si="85"/>
        <v>0</v>
      </c>
      <c r="J347" s="92"/>
      <c r="K347" s="118">
        <v>1</v>
      </c>
      <c r="L347" s="118">
        <v>1</v>
      </c>
      <c r="M347" s="118">
        <v>1</v>
      </c>
      <c r="N347" s="118">
        <v>1</v>
      </c>
      <c r="O347" s="118">
        <v>1</v>
      </c>
      <c r="P347" s="118">
        <v>1</v>
      </c>
      <c r="Q347" s="99">
        <f t="shared" si="86"/>
        <v>1</v>
      </c>
      <c r="R347" s="92"/>
    </row>
    <row r="348" spans="1:18" ht="12.95" customHeight="1" x14ac:dyDescent="0.25">
      <c r="A348" s="92"/>
      <c r="B348" s="253"/>
      <c r="C348" s="114"/>
      <c r="D348" s="125"/>
      <c r="E348" s="125"/>
      <c r="F348" s="125"/>
      <c r="G348" s="126"/>
      <c r="H348" s="116">
        <f t="shared" si="84"/>
        <v>1</v>
      </c>
      <c r="I348" s="110">
        <f t="shared" si="85"/>
        <v>0</v>
      </c>
      <c r="J348" s="92"/>
      <c r="K348" s="118">
        <v>1</v>
      </c>
      <c r="L348" s="118">
        <v>1</v>
      </c>
      <c r="M348" s="118">
        <v>1</v>
      </c>
      <c r="N348" s="118">
        <v>1</v>
      </c>
      <c r="O348" s="118">
        <v>1</v>
      </c>
      <c r="P348" s="118">
        <v>1</v>
      </c>
      <c r="Q348" s="99">
        <f t="shared" si="86"/>
        <v>1</v>
      </c>
      <c r="R348" s="92"/>
    </row>
    <row r="349" spans="1:18" ht="5.0999999999999996" customHeight="1" x14ac:dyDescent="0.25">
      <c r="A349" s="92"/>
      <c r="C349" s="123" t="s">
        <v>12</v>
      </c>
      <c r="G349" s="110"/>
      <c r="I349" s="110"/>
      <c r="J349" s="92"/>
      <c r="K349" s="231"/>
      <c r="L349" s="231"/>
      <c r="M349" s="231"/>
      <c r="N349" s="231"/>
      <c r="O349" s="231"/>
      <c r="P349" s="231"/>
      <c r="Q349" s="231"/>
      <c r="R349" s="92"/>
    </row>
    <row r="350" spans="1:18" x14ac:dyDescent="0.25">
      <c r="A350" s="92"/>
      <c r="B350" s="15"/>
      <c r="C350" s="134"/>
      <c r="D350" s="134"/>
      <c r="E350" s="134"/>
      <c r="F350" s="134"/>
      <c r="G350" s="135"/>
      <c r="H350" s="136" t="s">
        <v>30</v>
      </c>
      <c r="I350" s="135">
        <f>I337+I324+I311+I298+I285+I270+I257+I242+I229+I214+I201+I188+I173+I160+I145+I132+I119+I102+I89+I76+I61+I48+I35</f>
        <v>0</v>
      </c>
      <c r="J350" s="92"/>
      <c r="K350" s="231"/>
      <c r="L350" s="231"/>
      <c r="M350" s="231"/>
      <c r="N350" s="231"/>
      <c r="O350" s="231"/>
      <c r="P350" s="231"/>
      <c r="Q350" s="231"/>
      <c r="R350" s="92"/>
    </row>
    <row r="351" spans="1:18" ht="15" customHeight="1" x14ac:dyDescent="0.25">
      <c r="A351" s="92"/>
      <c r="B351" s="15"/>
      <c r="C351" s="134"/>
      <c r="D351" s="134"/>
      <c r="E351" s="134"/>
      <c r="F351" s="134"/>
      <c r="G351" s="137"/>
      <c r="H351" s="138" t="s">
        <v>29</v>
      </c>
      <c r="I351" s="135">
        <f>I350*0.2011</f>
        <v>0</v>
      </c>
      <c r="J351" s="92"/>
      <c r="K351" s="231"/>
      <c r="L351" s="231"/>
      <c r="M351" s="231"/>
      <c r="N351" s="231"/>
      <c r="O351" s="231"/>
      <c r="P351" s="231"/>
      <c r="Q351" s="231"/>
      <c r="R351" s="92"/>
    </row>
    <row r="352" spans="1:18" x14ac:dyDescent="0.25">
      <c r="A352" s="92"/>
      <c r="B352" s="15"/>
      <c r="C352" s="134"/>
      <c r="D352" s="134"/>
      <c r="E352" s="134"/>
      <c r="F352" s="134"/>
      <c r="G352" s="135"/>
      <c r="H352" s="136" t="s">
        <v>31</v>
      </c>
      <c r="I352" s="135">
        <f>I350+I351</f>
        <v>0</v>
      </c>
      <c r="J352" s="92"/>
      <c r="K352" s="231"/>
      <c r="L352" s="231"/>
      <c r="M352" s="231"/>
      <c r="N352" s="231"/>
      <c r="O352" s="231"/>
      <c r="P352" s="231"/>
      <c r="Q352" s="231"/>
      <c r="R352" s="92"/>
    </row>
    <row r="353" spans="1:18" x14ac:dyDescent="0.25">
      <c r="A353" s="92"/>
      <c r="B353" s="25"/>
      <c r="C353" s="92"/>
      <c r="D353" s="92"/>
      <c r="E353" s="92"/>
      <c r="F353" s="92"/>
      <c r="G353" s="101"/>
      <c r="H353" s="92"/>
      <c r="I353" s="101"/>
      <c r="J353" s="92"/>
      <c r="K353" s="102"/>
      <c r="L353" s="102"/>
      <c r="M353" s="102"/>
      <c r="N353" s="102"/>
      <c r="O353" s="102"/>
      <c r="P353" s="102"/>
      <c r="Q353" s="103"/>
      <c r="R353" s="92"/>
    </row>
    <row r="354" spans="1:18" ht="15.75" thickBot="1" x14ac:dyDescent="0.3"/>
    <row r="355" spans="1:18" ht="16.5" thickTop="1" thickBot="1" x14ac:dyDescent="0.3">
      <c r="N355" s="248" t="s">
        <v>188</v>
      </c>
      <c r="O355" s="248"/>
      <c r="P355" s="249"/>
      <c r="Q355" s="246" t="s">
        <v>189</v>
      </c>
      <c r="R355" s="247"/>
    </row>
    <row r="356" spans="1:18" ht="15.75" thickTop="1" x14ac:dyDescent="0.25"/>
  </sheetData>
  <sheetProtection algorithmName="SHA-512" hashValue="t01E0Fkc8W9HTBn3iMSXkuoJ584DB3uoMikWISUF4oGBRdyyRaHcg5qvF8GgsDUL5xTBBe99AFuiff16zX4BGQ==" saltValue="Xaoynh2o/xDaIh4FONwCzQ==" spinCount="100000" sheet="1" selectLockedCells="1"/>
  <mergeCells count="65">
    <mergeCell ref="Q355:R355"/>
    <mergeCell ref="N355:P355"/>
    <mergeCell ref="D16:R16"/>
    <mergeCell ref="B311:B322"/>
    <mergeCell ref="B324:B335"/>
    <mergeCell ref="B337:B348"/>
    <mergeCell ref="B242:B253"/>
    <mergeCell ref="B257:B268"/>
    <mergeCell ref="B270:B281"/>
    <mergeCell ref="B285:B296"/>
    <mergeCell ref="B298:B309"/>
    <mergeCell ref="B173:B184"/>
    <mergeCell ref="B188:B199"/>
    <mergeCell ref="B201:B212"/>
    <mergeCell ref="B214:B225"/>
    <mergeCell ref="B229:B240"/>
    <mergeCell ref="B102:B113"/>
    <mergeCell ref="B119:B130"/>
    <mergeCell ref="B132:B143"/>
    <mergeCell ref="B145:B156"/>
    <mergeCell ref="B160:B171"/>
    <mergeCell ref="B35:B46"/>
    <mergeCell ref="B48:B59"/>
    <mergeCell ref="B61:B72"/>
    <mergeCell ref="B76:B87"/>
    <mergeCell ref="B89:B100"/>
    <mergeCell ref="D15:R15"/>
    <mergeCell ref="D13:R13"/>
    <mergeCell ref="D6:R6"/>
    <mergeCell ref="D8:R8"/>
    <mergeCell ref="D10:R10"/>
    <mergeCell ref="D12:R12"/>
    <mergeCell ref="E17:O17"/>
    <mergeCell ref="K349:Q352"/>
    <mergeCell ref="K21:K25"/>
    <mergeCell ref="I27:I29"/>
    <mergeCell ref="H27:H29"/>
    <mergeCell ref="G27:G29"/>
    <mergeCell ref="K33:Q33"/>
    <mergeCell ref="L25:Q25"/>
    <mergeCell ref="L24:Q24"/>
    <mergeCell ref="L23:Q23"/>
    <mergeCell ref="L22:Q22"/>
    <mergeCell ref="L21:Q21"/>
    <mergeCell ref="K26:Q26"/>
    <mergeCell ref="K20:Q20"/>
    <mergeCell ref="K28:Q28"/>
    <mergeCell ref="B20:I20"/>
    <mergeCell ref="B26:I26"/>
    <mergeCell ref="E21:I21"/>
    <mergeCell ref="E22:I22"/>
    <mergeCell ref="E23:I23"/>
    <mergeCell ref="E24:I24"/>
    <mergeCell ref="E25:I25"/>
    <mergeCell ref="B21:C25"/>
    <mergeCell ref="F27:F29"/>
    <mergeCell ref="E27:E29"/>
    <mergeCell ref="D27:D29"/>
    <mergeCell ref="C27:C29"/>
    <mergeCell ref="B27:B29"/>
    <mergeCell ref="D2:R2"/>
    <mergeCell ref="D5:R5"/>
    <mergeCell ref="D7:R7"/>
    <mergeCell ref="D9:R9"/>
    <mergeCell ref="D11:R11"/>
  </mergeCells>
  <phoneticPr fontId="13" type="noConversion"/>
  <printOptions horizontalCentered="1"/>
  <pageMargins left="0" right="0" top="0" bottom="0" header="0.31496062992125984" footer="0.31496062992125984"/>
  <pageSetup paperSize="9" scale="5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delete_row">
                <anchor moveWithCells="1" sizeWithCells="1">
                  <from>
                    <xdr:col>1</xdr:col>
                    <xdr:colOff>66675</xdr:colOff>
                    <xdr:row>9</xdr:row>
                    <xdr:rowOff>123825</xdr:rowOff>
                  </from>
                  <to>
                    <xdr:col>1</xdr:col>
                    <xdr:colOff>628650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nsertAndCopyRow">
                <anchor moveWithCells="1" sizeWithCells="1">
                  <from>
                    <xdr:col>1</xdr:col>
                    <xdr:colOff>76200</xdr:colOff>
                    <xdr:row>6</xdr:row>
                    <xdr:rowOff>47625</xdr:rowOff>
                  </from>
                  <to>
                    <xdr:col>1</xdr:col>
                    <xdr:colOff>638175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ExportarPlanilhaComoPDF">
                <anchor moveWithCells="1" sizeWithCells="1">
                  <from>
                    <xdr:col>1</xdr:col>
                    <xdr:colOff>76200</xdr:colOff>
                    <xdr:row>2</xdr:row>
                    <xdr:rowOff>171450</xdr:rowOff>
                  </from>
                  <to>
                    <xdr:col>1</xdr:col>
                    <xdr:colOff>638175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343BC-DBE3-408D-8612-845ED765DD84}">
  <sheetPr codeName="Planilha3">
    <pageSetUpPr fitToPage="1"/>
  </sheetPr>
  <dimension ref="B1:U28"/>
  <sheetViews>
    <sheetView showGridLines="0" zoomScaleNormal="100" workbookViewId="0">
      <selection activeCell="K13" sqref="K13"/>
    </sheetView>
  </sheetViews>
  <sheetFormatPr defaultRowHeight="15" x14ac:dyDescent="0.25"/>
  <cols>
    <col min="1" max="1" width="4.28515625" customWidth="1"/>
    <col min="2" max="2" width="5.42578125" bestFit="1" customWidth="1"/>
    <col min="3" max="3" width="8.7109375" customWidth="1"/>
    <col min="4" max="4" width="12" customWidth="1"/>
    <col min="5" max="5" width="75.7109375" customWidth="1"/>
    <col min="6" max="9" width="20.7109375" customWidth="1"/>
  </cols>
  <sheetData>
    <row r="1" spans="2:21" ht="15.75" thickBot="1" x14ac:dyDescent="0.3"/>
    <row r="2" spans="2:21" ht="16.5" thickTop="1" thickBot="1" x14ac:dyDescent="0.3">
      <c r="H2" s="177" t="s">
        <v>188</v>
      </c>
      <c r="I2" s="178" t="s">
        <v>189</v>
      </c>
    </row>
    <row r="3" spans="2:21" ht="16.5" thickTop="1" thickBot="1" x14ac:dyDescent="0.3"/>
    <row r="4" spans="2:21" ht="60" customHeight="1" thickBot="1" x14ac:dyDescent="0.3">
      <c r="B4" s="256" t="s">
        <v>53</v>
      </c>
      <c r="C4" s="257"/>
      <c r="D4" s="257"/>
      <c r="E4" s="257"/>
      <c r="F4" s="257"/>
      <c r="G4" s="257"/>
      <c r="H4" s="257"/>
      <c r="I4" s="258"/>
    </row>
    <row r="5" spans="2:21" ht="5.0999999999999996" customHeight="1" thickBot="1" x14ac:dyDescent="0.3">
      <c r="C5" s="26"/>
      <c r="D5" s="26"/>
      <c r="E5" s="26"/>
      <c r="F5" s="26"/>
      <c r="G5" s="26"/>
      <c r="H5" s="26"/>
      <c r="I5" s="26"/>
    </row>
    <row r="6" spans="2:21" ht="20.100000000000001" customHeight="1" x14ac:dyDescent="0.25">
      <c r="B6" s="259" t="s">
        <v>52</v>
      </c>
      <c r="C6" s="260"/>
      <c r="D6" s="261"/>
      <c r="E6" s="265" t="s">
        <v>55</v>
      </c>
      <c r="F6" s="266"/>
      <c r="G6" s="267"/>
      <c r="H6" s="34" t="s">
        <v>3</v>
      </c>
      <c r="I6" s="35" t="s">
        <v>54</v>
      </c>
    </row>
    <row r="7" spans="2:21" ht="35.1" customHeight="1" thickBot="1" x14ac:dyDescent="0.3">
      <c r="B7" s="262" t="s">
        <v>153</v>
      </c>
      <c r="C7" s="263"/>
      <c r="D7" s="264"/>
      <c r="E7" s="268" t="s">
        <v>7</v>
      </c>
      <c r="F7" s="269"/>
      <c r="G7" s="270"/>
      <c r="H7" s="89" t="s">
        <v>5</v>
      </c>
      <c r="I7" s="89" t="s">
        <v>56</v>
      </c>
    </row>
    <row r="8" spans="2:21" ht="5.0999999999999996" customHeight="1" thickBot="1" x14ac:dyDescent="0.3">
      <c r="C8" s="26"/>
      <c r="D8" s="26"/>
      <c r="E8" s="26"/>
      <c r="F8" s="26"/>
      <c r="G8" s="26"/>
      <c r="H8" s="26"/>
      <c r="I8" s="26"/>
    </row>
    <row r="9" spans="2:21" ht="21.75" customHeight="1" thickBot="1" x14ac:dyDescent="0.3">
      <c r="B9" s="30" t="s">
        <v>58</v>
      </c>
      <c r="C9" s="30" t="s">
        <v>0</v>
      </c>
      <c r="D9" s="30" t="s">
        <v>1</v>
      </c>
      <c r="E9" s="31" t="s">
        <v>2</v>
      </c>
      <c r="F9" s="30" t="s">
        <v>3</v>
      </c>
      <c r="G9" s="32" t="s">
        <v>4</v>
      </c>
      <c r="H9" s="30" t="s">
        <v>16</v>
      </c>
      <c r="I9" s="33" t="s">
        <v>57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2:21" ht="5.0999999999999996" customHeight="1" x14ac:dyDescent="0.25">
      <c r="C10" s="26"/>
      <c r="D10" s="26"/>
      <c r="E10" s="26"/>
      <c r="F10" s="26"/>
      <c r="G10" s="26"/>
      <c r="H10" s="26"/>
      <c r="I10" s="26"/>
    </row>
    <row r="11" spans="2:21" x14ac:dyDescent="0.25">
      <c r="B11" s="159">
        <v>1</v>
      </c>
      <c r="C11" s="160"/>
      <c r="D11" s="160"/>
      <c r="E11" s="161"/>
      <c r="F11" s="160"/>
      <c r="G11" s="162"/>
      <c r="H11" s="163"/>
      <c r="I11" s="164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2:21" x14ac:dyDescent="0.25">
      <c r="B12" s="165">
        <v>2</v>
      </c>
      <c r="C12" s="166" t="s">
        <v>13</v>
      </c>
      <c r="D12" s="166">
        <v>10010</v>
      </c>
      <c r="E12" s="167" t="s">
        <v>156</v>
      </c>
      <c r="F12" s="166" t="s">
        <v>159</v>
      </c>
      <c r="G12" s="168" t="s">
        <v>162</v>
      </c>
      <c r="H12" s="169" t="s">
        <v>164</v>
      </c>
      <c r="I12" s="170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2:21" x14ac:dyDescent="0.25">
      <c r="B13" s="159">
        <v>3</v>
      </c>
      <c r="C13" s="160" t="s">
        <v>14</v>
      </c>
      <c r="D13" s="160">
        <v>11000</v>
      </c>
      <c r="E13" s="161" t="s">
        <v>155</v>
      </c>
      <c r="F13" s="160" t="s">
        <v>160</v>
      </c>
      <c r="G13" s="162" t="s">
        <v>162</v>
      </c>
      <c r="H13" s="163" t="s">
        <v>164</v>
      </c>
      <c r="I13" s="164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2:21" x14ac:dyDescent="0.25">
      <c r="B14" s="165">
        <v>4</v>
      </c>
      <c r="C14" s="166" t="s">
        <v>12</v>
      </c>
      <c r="D14" s="166">
        <v>10011</v>
      </c>
      <c r="E14" s="167" t="s">
        <v>157</v>
      </c>
      <c r="F14" s="166" t="s">
        <v>161</v>
      </c>
      <c r="G14" s="168" t="s">
        <v>163</v>
      </c>
      <c r="H14" s="169" t="s">
        <v>165</v>
      </c>
      <c r="I14" s="170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2:21" x14ac:dyDescent="0.25">
      <c r="B15" s="159">
        <v>5</v>
      </c>
      <c r="C15" s="171"/>
      <c r="D15" s="171"/>
      <c r="E15" s="172"/>
      <c r="F15" s="171"/>
      <c r="G15" s="162"/>
      <c r="H15" s="163"/>
      <c r="I15" s="164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2:21" x14ac:dyDescent="0.25">
      <c r="B16" s="165">
        <v>6</v>
      </c>
      <c r="C16" s="173"/>
      <c r="D16" s="173"/>
      <c r="E16" s="174"/>
      <c r="F16" s="173"/>
      <c r="G16" s="168"/>
      <c r="H16" s="169"/>
      <c r="I16" s="170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5">
      <c r="B17" s="159">
        <v>7</v>
      </c>
      <c r="C17" s="171"/>
      <c r="D17" s="171"/>
      <c r="E17" s="172"/>
      <c r="F17" s="171"/>
      <c r="G17" s="162"/>
      <c r="H17" s="163"/>
      <c r="I17" s="1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5">
      <c r="B18" s="165">
        <v>8</v>
      </c>
      <c r="C18" s="173"/>
      <c r="D18" s="173"/>
      <c r="E18" s="174"/>
      <c r="F18" s="173"/>
      <c r="G18" s="168"/>
      <c r="H18" s="169"/>
      <c r="I18" s="170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2:21" x14ac:dyDescent="0.25">
      <c r="B19" s="159">
        <v>9</v>
      </c>
      <c r="C19" s="171"/>
      <c r="D19" s="171"/>
      <c r="E19" s="172"/>
      <c r="F19" s="171"/>
      <c r="G19" s="162"/>
      <c r="H19" s="175"/>
      <c r="I19" s="164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2:21" x14ac:dyDescent="0.25">
      <c r="B20" s="165">
        <v>10</v>
      </c>
      <c r="C20" s="173"/>
      <c r="D20" s="173"/>
      <c r="E20" s="174"/>
      <c r="F20" s="173"/>
      <c r="G20" s="168"/>
      <c r="H20" s="169"/>
      <c r="I20" s="170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2:21" ht="5.0999999999999996" customHeight="1" x14ac:dyDescent="0.25">
      <c r="C21" s="26"/>
      <c r="D21" s="26"/>
      <c r="E21" s="26"/>
      <c r="F21" s="26"/>
      <c r="G21" s="26"/>
      <c r="H21" s="26"/>
      <c r="I21" s="26"/>
    </row>
    <row r="22" spans="2:21" ht="35.1" customHeight="1" x14ac:dyDescent="0.25">
      <c r="B22" s="17"/>
      <c r="C22" s="17"/>
      <c r="D22" s="17"/>
      <c r="E22" s="17"/>
      <c r="F22" s="17"/>
      <c r="G22" s="17"/>
      <c r="H22" s="38" t="s">
        <v>115</v>
      </c>
      <c r="I22" s="29">
        <f>SUM(I12:I20)</f>
        <v>0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2:21" x14ac:dyDescent="0.25">
      <c r="B23" s="255" t="s">
        <v>6</v>
      </c>
      <c r="C23" s="255"/>
      <c r="D23" s="255"/>
      <c r="E23" s="90" t="s">
        <v>59</v>
      </c>
      <c r="F23" s="28"/>
      <c r="G23" s="28"/>
      <c r="H23" s="5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2:21" x14ac:dyDescent="0.25">
      <c r="C24" s="36"/>
      <c r="D24" s="27" t="s">
        <v>60</v>
      </c>
      <c r="E24" s="91" t="s">
        <v>12</v>
      </c>
      <c r="H24" s="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2:21" x14ac:dyDescent="0.25">
      <c r="B25" s="37"/>
      <c r="C25" s="36"/>
      <c r="E25" s="91" t="s">
        <v>13</v>
      </c>
      <c r="H25" s="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2:21" x14ac:dyDescent="0.25">
      <c r="B26" s="37"/>
      <c r="C26" s="36"/>
      <c r="E26" s="91" t="s">
        <v>14</v>
      </c>
      <c r="F26" s="4"/>
      <c r="G26" s="2"/>
      <c r="H26" s="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2:21" x14ac:dyDescent="0.25">
      <c r="B27" s="16" t="s">
        <v>186</v>
      </c>
      <c r="C27" s="176" t="s">
        <v>186</v>
      </c>
      <c r="D27" s="176" t="s">
        <v>186</v>
      </c>
      <c r="E27" s="176" t="s">
        <v>186</v>
      </c>
      <c r="F27" s="176" t="s">
        <v>186</v>
      </c>
      <c r="G27" s="176" t="s">
        <v>186</v>
      </c>
      <c r="H27" s="176" t="s">
        <v>186</v>
      </c>
      <c r="I27" s="176" t="s">
        <v>186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2:21" ht="15" customHeight="1" x14ac:dyDescent="0.25">
      <c r="B28" s="16" t="s">
        <v>186</v>
      </c>
      <c r="C28" s="176" t="s">
        <v>186</v>
      </c>
      <c r="D28" s="176" t="s">
        <v>186</v>
      </c>
      <c r="E28" s="176" t="s">
        <v>186</v>
      </c>
      <c r="F28" s="176" t="s">
        <v>186</v>
      </c>
      <c r="G28" s="176" t="s">
        <v>186</v>
      </c>
      <c r="H28" s="176" t="s">
        <v>186</v>
      </c>
      <c r="I28" s="176" t="s">
        <v>186</v>
      </c>
    </row>
  </sheetData>
  <sheetProtection algorithmName="SHA-512" hashValue="AiGvMyiwC3OC+LblkiLR9j6zHF0+kpQgEc4PUxRYAEDSF6DTEXnb3M/fzqgDo0L0w8qmsFOGE4pg8ATfBzT0uA==" saltValue="eiWaA4UYeAxuJ3Hha/Acuw==" spinCount="100000" sheet="1" objects="1" scenarios="1" selectLockedCells="1"/>
  <mergeCells count="6">
    <mergeCell ref="B23:D23"/>
    <mergeCell ref="B4:I4"/>
    <mergeCell ref="B6:D6"/>
    <mergeCell ref="B7:D7"/>
    <mergeCell ref="E6:G6"/>
    <mergeCell ref="E7:G7"/>
  </mergeCells>
  <printOptions horizontalCentered="1"/>
  <pageMargins left="0" right="0" top="0" bottom="0" header="0.31496062992125984" footer="0.31496062992125984"/>
  <pageSetup paperSize="9" scale="76" fitToHeight="50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arPlanilhaComoPDF">
                <anchor moveWithCells="1" sizeWithCells="1">
                  <from>
                    <xdr:col>9</xdr:col>
                    <xdr:colOff>85725</xdr:colOff>
                    <xdr:row>5</xdr:row>
                    <xdr:rowOff>95250</xdr:rowOff>
                  </from>
                  <to>
                    <xdr:col>10</xdr:col>
                    <xdr:colOff>57150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ete_row">
                <anchor moveWithCells="1" sizeWithCells="1">
                  <from>
                    <xdr:col>10</xdr:col>
                    <xdr:colOff>104775</xdr:colOff>
                    <xdr:row>3</xdr:row>
                    <xdr:rowOff>457200</xdr:rowOff>
                  </from>
                  <to>
                    <xdr:col>11</xdr:col>
                    <xdr:colOff>76200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AndCopyRow">
                <anchor moveWithCells="1" sizeWithCells="1">
                  <from>
                    <xdr:col>10</xdr:col>
                    <xdr:colOff>104775</xdr:colOff>
                    <xdr:row>3</xdr:row>
                    <xdr:rowOff>9525</xdr:rowOff>
                  </from>
                  <to>
                    <xdr:col>11</xdr:col>
                    <xdr:colOff>76200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opiarEColarBlocoComAltura">
                <anchor moveWithCells="1" sizeWithCells="1">
                  <from>
                    <xdr:col>9</xdr:col>
                    <xdr:colOff>85725</xdr:colOff>
                    <xdr:row>3</xdr:row>
                    <xdr:rowOff>457200</xdr:rowOff>
                  </from>
                  <to>
                    <xdr:col>10</xdr:col>
                    <xdr:colOff>57150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ExcluirBlocosCopiados">
                <anchor moveWithCells="1" sizeWithCells="1">
                  <from>
                    <xdr:col>9</xdr:col>
                    <xdr:colOff>85725</xdr:colOff>
                    <xdr:row>3</xdr:row>
                    <xdr:rowOff>9525</xdr:rowOff>
                  </from>
                  <to>
                    <xdr:col>10</xdr:col>
                    <xdr:colOff>57150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1-MODELO QUADRO RESUMO</vt:lpstr>
      <vt:lpstr>2-PLAN. DE COMP.DE CUSTOS</vt:lpstr>
      <vt:lpstr>3-MODELO COMP PREÇ UNIT</vt:lpstr>
      <vt:lpstr>'1-MODELO QUADRO RESUMO'!Area_de_impressao</vt:lpstr>
      <vt:lpstr>'2-PLAN. DE COMP.DE CUSTOS'!Area_de_impressao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Bruna Domingues Candelaria</dc:creator>
  <cp:lastModifiedBy>Leandro Della Croche</cp:lastModifiedBy>
  <cp:lastPrinted>2025-08-07T19:02:42Z</cp:lastPrinted>
  <dcterms:created xsi:type="dcterms:W3CDTF">2015-06-05T18:19:34Z</dcterms:created>
  <dcterms:modified xsi:type="dcterms:W3CDTF">2025-08-07T20:00:22Z</dcterms:modified>
</cp:coreProperties>
</file>